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oNa\Downloads\excelAutomation\examples\"/>
    </mc:Choice>
  </mc:AlternateContent>
  <xr:revisionPtr revIDLastSave="0" documentId="13_ncr:1_{E70F5B07-BA77-46B0-B1D7-27A601F2CA01}" xr6:coauthVersionLast="47" xr6:coauthVersionMax="47" xr10:uidLastSave="{00000000-0000-0000-0000-000000000000}"/>
  <bookViews>
    <workbookView xWindow="-110" yWindow="-110" windowWidth="38620" windowHeight="21100" xr2:uid="{BF0A61FE-A734-48E2-92BB-8A6D42063467}"/>
  </bookViews>
  <sheets>
    <sheet name="Recordatorios Programados" sheetId="4" r:id="rId1"/>
    <sheet name="Resumen" sheetId="3" r:id="rId2"/>
    <sheet name="Mensajes Base" sheetId="2" r:id="rId3"/>
    <sheet name="Ayuda" sheetId="1" r:id="rId4"/>
    <sheet name="Listas" sheetId="5" state="veryHidden" r:id="rId5"/>
  </sheets>
  <definedNames>
    <definedName name="_xlnm._FilterDatabase" localSheetId="0" hidden="1">'Recordatorios Programados'!$A$4:$K$4</definedName>
    <definedName name="_xlnm._FilterDatabase" localSheetId="1" hidden="1">Resumen!$A$3:$H$3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88" i="4" l="1" a="1"/>
  <c r="O88" i="4" s="1"/>
  <c r="O87" i="4" a="1"/>
  <c r="O87" i="4" s="1"/>
  <c r="O86" i="4" a="1"/>
  <c r="O86" i="4" s="1"/>
  <c r="O85" i="4" a="1"/>
  <c r="O85" i="4" s="1"/>
  <c r="O84" i="4" a="1"/>
  <c r="O84" i="4" s="1"/>
  <c r="O82" i="4" a="1"/>
  <c r="O82" i="4" s="1"/>
  <c r="O81" i="4" a="1"/>
  <c r="O81" i="4" s="1"/>
  <c r="O80" i="4" a="1"/>
  <c r="O80" i="4" s="1"/>
  <c r="O79" i="4" a="1"/>
  <c r="O79" i="4" s="1"/>
  <c r="O78" i="4" a="1"/>
  <c r="O78" i="4" s="1"/>
  <c r="O76" i="4" a="1"/>
  <c r="O76" i="4" s="1"/>
  <c r="O75" i="4" a="1"/>
  <c r="O75" i="4" s="1"/>
  <c r="O74" i="4" a="1"/>
  <c r="O74" i="4" s="1"/>
  <c r="O73" i="4" a="1"/>
  <c r="O73" i="4" s="1"/>
  <c r="O72" i="4" a="1"/>
  <c r="O72" i="4" s="1"/>
  <c r="O70" i="4" a="1"/>
  <c r="O70" i="4" s="1"/>
  <c r="O69" i="4" a="1"/>
  <c r="O69" i="4" s="1"/>
  <c r="O68" i="4" a="1"/>
  <c r="O68" i="4" s="1"/>
  <c r="O67" i="4" a="1"/>
  <c r="O67" i="4" s="1"/>
  <c r="O66" i="4" a="1"/>
  <c r="O66" i="4" s="1"/>
  <c r="O64" i="4" a="1"/>
  <c r="O64" i="4" s="1"/>
  <c r="O63" i="4" a="1"/>
  <c r="O63" i="4" s="1"/>
  <c r="O62" i="4" a="1"/>
  <c r="O62" i="4" s="1"/>
  <c r="O61" i="4" a="1"/>
  <c r="O61" i="4" s="1"/>
  <c r="O60" i="4" a="1"/>
  <c r="O60" i="4" s="1"/>
  <c r="O58" i="4" a="1"/>
  <c r="O58" i="4" s="1"/>
  <c r="O57" i="4" a="1"/>
  <c r="O57" i="4" s="1"/>
  <c r="O56" i="4" a="1"/>
  <c r="O56" i="4" s="1"/>
  <c r="O55" i="4" a="1"/>
  <c r="O55" i="4" s="1"/>
  <c r="O54" i="4" a="1"/>
  <c r="O54" i="4" s="1"/>
  <c r="O52" i="4" a="1"/>
  <c r="O52" i="4" s="1"/>
  <c r="O51" i="4" a="1"/>
  <c r="O51" i="4" s="1"/>
  <c r="O50" i="4" a="1"/>
  <c r="O50" i="4" s="1"/>
  <c r="O49" i="4" a="1"/>
  <c r="O49" i="4" s="1"/>
  <c r="O48" i="4" a="1"/>
  <c r="O48" i="4" s="1"/>
  <c r="O46" i="4" a="1"/>
  <c r="O46" i="4" s="1"/>
  <c r="O45" i="4" a="1"/>
  <c r="O45" i="4" s="1"/>
  <c r="O44" i="4" a="1"/>
  <c r="O44" i="4" s="1"/>
  <c r="O43" i="4" a="1"/>
  <c r="O43" i="4" s="1"/>
  <c r="O42" i="4" a="1"/>
  <c r="O42" i="4" s="1"/>
  <c r="O40" i="4" a="1"/>
  <c r="O40" i="4" s="1"/>
  <c r="O39" i="4" a="1"/>
  <c r="O39" i="4" s="1"/>
  <c r="O38" i="4" a="1"/>
  <c r="O38" i="4" s="1"/>
  <c r="O37" i="4" a="1"/>
  <c r="O37" i="4" s="1"/>
  <c r="O36" i="4" a="1"/>
  <c r="O36" i="4" s="1"/>
  <c r="O34" i="4" a="1"/>
  <c r="O34" i="4" s="1"/>
  <c r="O33" i="4" a="1"/>
  <c r="O33" i="4" s="1"/>
  <c r="O32" i="4" a="1"/>
  <c r="O32" i="4" s="1"/>
  <c r="O31" i="4" a="1"/>
  <c r="O31" i="4" s="1"/>
  <c r="O30" i="4" a="1"/>
  <c r="O30" i="4" s="1"/>
  <c r="O28" i="4" a="1"/>
  <c r="O28" i="4" s="1"/>
  <c r="O27" i="4" a="1"/>
  <c r="O27" i="4" s="1"/>
  <c r="O26" i="4" a="1"/>
  <c r="O26" i="4" s="1"/>
  <c r="O25" i="4" a="1"/>
  <c r="O25" i="4" s="1"/>
  <c r="O24" i="4" a="1"/>
  <c r="O24" i="4" s="1"/>
  <c r="O22" i="4" a="1"/>
  <c r="O22" i="4" s="1"/>
  <c r="O21" i="4" a="1"/>
  <c r="O21" i="4" s="1"/>
  <c r="O20" i="4" a="1"/>
  <c r="O20" i="4" s="1"/>
  <c r="O19" i="4" a="1"/>
  <c r="O19" i="4" s="1"/>
  <c r="O18" i="4" a="1"/>
  <c r="O18" i="4" s="1"/>
  <c r="O16" i="4" a="1"/>
  <c r="O16" i="4" s="1"/>
  <c r="O15" i="4" a="1"/>
  <c r="O15" i="4" s="1"/>
  <c r="O14" i="4" a="1"/>
  <c r="O14" i="4" s="1"/>
  <c r="O13" i="4" a="1"/>
  <c r="O13" i="4" s="1"/>
  <c r="O12" i="4" a="1"/>
  <c r="O12" i="4" s="1"/>
  <c r="O10" i="4" a="1"/>
  <c r="O10" i="4" s="1"/>
  <c r="O9" i="4" a="1"/>
  <c r="O9" i="4" s="1"/>
  <c r="O8" i="4" a="1"/>
  <c r="O8" i="4" s="1"/>
  <c r="O7" i="4" a="1"/>
  <c r="O7" i="4" s="1"/>
  <c r="O6" i="4" a="1"/>
  <c r="O6" i="4" s="1"/>
  <c r="G16" i="3"/>
  <c r="F16" i="3"/>
  <c r="E16" i="3"/>
  <c r="D16" i="3"/>
  <c r="C16" i="3"/>
  <c r="B16" i="3"/>
  <c r="G15" i="3"/>
  <c r="F15" i="3"/>
  <c r="E15" i="3"/>
  <c r="D15" i="3"/>
  <c r="C15" i="3"/>
  <c r="B15" i="3"/>
  <c r="G14" i="3"/>
  <c r="F14" i="3"/>
  <c r="E14" i="3"/>
  <c r="D14" i="3"/>
  <c r="C14" i="3"/>
  <c r="B14" i="3"/>
  <c r="G13" i="3"/>
  <c r="F13" i="3"/>
  <c r="E13" i="3"/>
  <c r="D13" i="3"/>
  <c r="C13" i="3"/>
  <c r="B13" i="3"/>
  <c r="G12" i="3"/>
  <c r="F12" i="3"/>
  <c r="E12" i="3"/>
  <c r="D12" i="3"/>
  <c r="C12" i="3"/>
  <c r="B12" i="3"/>
  <c r="G11" i="3"/>
  <c r="F11" i="3"/>
  <c r="E11" i="3"/>
  <c r="D11" i="3"/>
  <c r="C11" i="3"/>
  <c r="B11" i="3"/>
  <c r="G10" i="3"/>
  <c r="F10" i="3"/>
  <c r="E10" i="3"/>
  <c r="D10" i="3"/>
  <c r="C10" i="3"/>
  <c r="B10" i="3"/>
  <c r="G9" i="3"/>
  <c r="F9" i="3"/>
  <c r="E9" i="3"/>
  <c r="D9" i="3"/>
  <c r="C9" i="3"/>
  <c r="B9" i="3"/>
  <c r="G8" i="3"/>
  <c r="F8" i="3"/>
  <c r="E8" i="3"/>
  <c r="D8" i="3"/>
  <c r="C8" i="3"/>
  <c r="B8" i="3"/>
  <c r="G7" i="3"/>
  <c r="F7" i="3"/>
  <c r="E7" i="3"/>
  <c r="D7" i="3"/>
  <c r="C7" i="3"/>
  <c r="B7" i="3"/>
  <c r="G6" i="3"/>
  <c r="F6" i="3"/>
  <c r="E6" i="3"/>
  <c r="D6" i="3"/>
  <c r="C6" i="3"/>
  <c r="B6" i="3"/>
  <c r="G5" i="3"/>
  <c r="F5" i="3"/>
  <c r="E5" i="3"/>
  <c r="D5" i="3"/>
  <c r="C5" i="3"/>
  <c r="B5" i="3"/>
  <c r="G4" i="3"/>
  <c r="F4" i="3"/>
  <c r="E4" i="3"/>
  <c r="D4" i="3"/>
  <c r="C4" i="3"/>
  <c r="B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Gonzalez</author>
  </authors>
  <commentList>
    <comment ref="H4" authorId="0" shapeId="0" xr:uid="{29600F8B-74EF-4435-A7FC-D1B11FAA4958}">
      <text>
        <r>
          <rPr>
            <b/>
            <sz val="9"/>
            <color indexed="81"/>
            <rFont val="Tahoma"/>
            <family val="2"/>
          </rPr>
          <t>Columna protegida. No la modifiques manualmente; el sistema registra aqui los ultimos envios.</t>
        </r>
      </text>
    </comment>
    <comment ref="I4" authorId="0" shapeId="0" xr:uid="{EE45DCF1-0E64-4A75-9862-11D6201D07E9}">
      <text>
        <r>
          <rPr>
            <b/>
            <sz val="9"/>
            <color indexed="81"/>
            <rFont val="Tahoma"/>
            <family val="2"/>
          </rPr>
          <t>Columna protegida. Para cambiar proximas fechas, modifica Programacion, Hora y Activo.</t>
        </r>
      </text>
    </comment>
    <comment ref="N4" authorId="0" shapeId="0" xr:uid="{011ECE1A-E1C5-4ED0-8B86-D06E2F256959}">
      <text>
        <r>
          <rPr>
            <b/>
            <sz val="9"/>
            <color indexed="81"/>
            <rFont val="Tahoma"/>
            <charset val="1"/>
          </rPr>
          <t>Columna protegida. El sistema registra aqui los ultimos envios.</t>
        </r>
      </text>
    </comment>
    <comment ref="O4" authorId="0" shapeId="0" xr:uid="{9D552B9C-6F75-4515-9576-6641E48D82E4}">
      <text>
        <r>
          <rPr>
            <b/>
            <sz val="9"/>
            <color indexed="81"/>
            <rFont val="Tahoma"/>
            <charset val="1"/>
          </rPr>
          <t>Columna protegida. Para cambiar proximas fechas, marca/desmarca dias, cambia Hora o Activo.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<sst xmlns="http://schemas.openxmlformats.org/spreadsheetml/2006/main" count="2017" uniqueCount="1543">
  <si>
    <t>Panel visual de recordatorios programados por casa</t>
  </si>
  <si>
    <t>Casa / Grupo exacto</t>
  </si>
  <si>
    <t>Categoría</t>
  </si>
  <si>
    <t>Programación</t>
  </si>
  <si>
    <t>Hora</t>
  </si>
  <si>
    <t>Activo</t>
  </si>
  <si>
    <t>Enviar manual</t>
  </si>
  <si>
    <t>Estado</t>
  </si>
  <si>
    <t>Último envío</t>
  </si>
  <si>
    <t>Próximo envío</t>
  </si>
  <si>
    <t>Mensaje</t>
  </si>
  <si>
    <t>Notas</t>
  </si>
  <si>
    <t>Departamento 510</t>
  </si>
  <si>
    <t>Limpieza y orden</t>
  </si>
  <si>
    <t>Manual / cuando aplique</t>
  </si>
  <si>
    <t>SI</t>
  </si>
  <si>
    <t>NO</t>
  </si>
  <si>
    <t>Buenos días chicos,_x000D_
_x000D_
Como recordatorio, les pido de su amable apoyo para:_x000D_
_x000D_
* Lavar, secar y guardar los trastes que utilicen._x000D_
* Barrer la cocina y dejarla limpia para que la siguiente persona la encuentre en las mismas condiciones._x000D_
* Apagar todas las luces que no estén utilizando._x000D_
* Colocar las sillas del comedor en su lugar después de usarlas._x000D_
_x000D_
Muchas gracias por su colaboración para mantener la casa limpia y ordenada.</t>
  </si>
  <si>
    <t>Lavandería - horario</t>
  </si>
  <si>
    <t>Lunes y jueves</t>
  </si>
  <si>
    <t>Buenas tardes, chicos._x000D_
_x000D_
Solo para confirmarles que el horario de lavado ya está disponible. Pueden utilizar la lavandería de 7:00 p. m. a 10:30 p. m._x000D_
_x000D_
Gracias.</t>
  </si>
  <si>
    <t>Lavandería - filtro secadora</t>
  </si>
  <si>
    <t>Como recordatorio, les pido que después de utilizar la secadora limpien el filtro. Es importante cuidarla para mantenerla en buen funcionamiento y evitar daños._x000D_
_x000D_
Gracias por su apoyo.</t>
  </si>
  <si>
    <t>Estufa y luces</t>
  </si>
  <si>
    <t>Martes y jueves</t>
  </si>
  <si>
    <t>Buenas noches a todos, chicos._x000D_
_x000D_
Como recordatorio, les pido que antes de dormir verifiquen que la estufa esté completamente apagada para evitar accidentes. Asimismo, favor de apagar todas las luces que no se estén utilizando._x000D_
_x000D_
Gracias por su apoyo y que tengan una excelente noche.</t>
  </si>
  <si>
    <t>Ruido fin de semana</t>
  </si>
  <si>
    <t>Cada dos sábados</t>
  </si>
  <si>
    <t>Noche</t>
  </si>
  <si>
    <t>Buenas noches a todos, chicos._x000D_
_x000D_
Solo como recordatorio, al ser fin de semana les pedimos de la manera más amable que moderen el ruido. Sabemos que muchos aprovechan estos días, pero también hay personas que necesitan descansar después de una semana de trabajo._x000D_
_x000D_
Seamos considerados con los demás y ayudemos a mantener un ambiente tranquilo para todos._x000D_
_x000D_
Muchas gracias por su apoyo. ¡Que tengan una excelente noche!</t>
  </si>
  <si>
    <t>Basement 78 Sutherland</t>
  </si>
  <si>
    <t>11 Huntingwood</t>
  </si>
  <si>
    <t>14 Hayden Crt Brampton</t>
  </si>
  <si>
    <t>9 Sutherland Ave Brampton ON L6V 2H3 Canada</t>
  </si>
  <si>
    <t>116 Madoc</t>
  </si>
  <si>
    <t>HOME 185  VODDEN ST E</t>
  </si>
  <si>
    <t>96 Sutherland</t>
  </si>
  <si>
    <t>Departamento 303</t>
  </si>
  <si>
    <t>45 Hansen Rd N #99</t>
  </si>
  <si>
    <t>17 Hilldowntree</t>
  </si>
  <si>
    <t>26 Lincoln Brampton</t>
  </si>
  <si>
    <t>152 Royal Palm</t>
  </si>
  <si>
    <t>Resumen visual por casa</t>
  </si>
  <si>
    <t>Casa / Grupo</t>
  </si>
  <si>
    <t>Total</t>
  </si>
  <si>
    <t>Pendientes</t>
  </si>
  <si>
    <t>Enviados</t>
  </si>
  <si>
    <t>Errores</t>
  </si>
  <si>
    <t>Activos</t>
  </si>
  <si>
    <t>Manuales SI</t>
  </si>
  <si>
    <t>Última nota</t>
  </si>
  <si>
    <t>Mensajes base</t>
  </si>
  <si>
    <t>Activo por defecto</t>
  </si>
  <si>
    <t>Cómo usar este archivo</t>
  </si>
  <si>
    <t>Objetivo</t>
  </si>
  <si>
    <t>Este archivo es un panel visual para planear envíos programados por casa. No reemplaza todavía al archivo operativo de envío.</t>
  </si>
  <si>
    <t>Separación por casa</t>
  </si>
  <si>
    <t>Cada casa tiene una barra de color y debajo sus 5 recordatorios reales.</t>
  </si>
  <si>
    <t>Usa PENDIENTE, ENVIADO, ERROR u OMITIDO para ver rápidamente qué pasó con cada recordatorio.</t>
  </si>
  <si>
    <t>SI significa que ese recordatorio debería existir para automatización futura. NO significa que queda apagado.</t>
  </si>
  <si>
    <t>SI puede usarse más adelante para enviar manualmente desde el sistema actual.</t>
  </si>
  <si>
    <t>Incluye lunes/jueves 7 PM, lunes/jueves 8 PM, martes/jueves 9 PM y cada dos sábados por la noche.</t>
  </si>
  <si>
    <t>Siguiente paso futuro</t>
  </si>
  <si>
    <t>Conectar este archivo a un modo automático en Node.js y al Programador de tareas de Windows.</t>
  </si>
  <si>
    <t>Registra aquí las últimas 2 fechas enviadas. El texto aparece tachado para indicar que ya ocurrió.</t>
  </si>
  <si>
    <t>Lista automáticamente los siguientes 4 envíos con formato: lunes 10/Jul/2026 13:00 hrs.</t>
  </si>
  <si>
    <t>Lun</t>
  </si>
  <si>
    <t>Mar</t>
  </si>
  <si>
    <t>Mié</t>
  </si>
  <si>
    <t>Jue</t>
  </si>
  <si>
    <t>Vie</t>
  </si>
  <si>
    <t>Sáb</t>
  </si>
  <si>
    <t>Dom</t>
  </si>
  <si>
    <t>19:00 hrs</t>
  </si>
  <si>
    <t>20:00 hrs</t>
  </si>
  <si>
    <t>21:00 hrs</t>
  </si>
  <si>
    <t>00:00 hrs</t>
  </si>
  <si>
    <t>00:01 hrs</t>
  </si>
  <si>
    <t>00:02 hrs</t>
  </si>
  <si>
    <t>00:03 hrs</t>
  </si>
  <si>
    <t>00:04 hrs</t>
  </si>
  <si>
    <t>00:05 hrs</t>
  </si>
  <si>
    <t>00:06 hrs</t>
  </si>
  <si>
    <t>00:07 hrs</t>
  </si>
  <si>
    <t>00:08 hrs</t>
  </si>
  <si>
    <t>00:09 hrs</t>
  </si>
  <si>
    <t>00:10 hrs</t>
  </si>
  <si>
    <t>00:11 hrs</t>
  </si>
  <si>
    <t>00:12 hrs</t>
  </si>
  <si>
    <t>00:13 hrs</t>
  </si>
  <si>
    <t>00:14 hrs</t>
  </si>
  <si>
    <t>00:15 hrs</t>
  </si>
  <si>
    <t>00:16 hrs</t>
  </si>
  <si>
    <t>00:17 hrs</t>
  </si>
  <si>
    <t>00:18 hrs</t>
  </si>
  <si>
    <t>00:19 hrs</t>
  </si>
  <si>
    <t>00:20 hrs</t>
  </si>
  <si>
    <t>00:21 hrs</t>
  </si>
  <si>
    <t>00:22 hrs</t>
  </si>
  <si>
    <t>00:23 hrs</t>
  </si>
  <si>
    <t>00:24 hrs</t>
  </si>
  <si>
    <t>00:25 hrs</t>
  </si>
  <si>
    <t>00:26 hrs</t>
  </si>
  <si>
    <t>00:27 hrs</t>
  </si>
  <si>
    <t>00:28 hrs</t>
  </si>
  <si>
    <t>00:29 hrs</t>
  </si>
  <si>
    <t>00:30 hrs</t>
  </si>
  <si>
    <t>00:31 hrs</t>
  </si>
  <si>
    <t>00:32 hrs</t>
  </si>
  <si>
    <t>00:33 hrs</t>
  </si>
  <si>
    <t>00:34 hrs</t>
  </si>
  <si>
    <t>00:35 hrs</t>
  </si>
  <si>
    <t>00:36 hrs</t>
  </si>
  <si>
    <t>00:37 hrs</t>
  </si>
  <si>
    <t>00:38 hrs</t>
  </si>
  <si>
    <t>00:39 hrs</t>
  </si>
  <si>
    <t>00:40 hrs</t>
  </si>
  <si>
    <t>00:41 hrs</t>
  </si>
  <si>
    <t>00:42 hrs</t>
  </si>
  <si>
    <t>00:43 hrs</t>
  </si>
  <si>
    <t>00:44 hrs</t>
  </si>
  <si>
    <t>00:45 hrs</t>
  </si>
  <si>
    <t>00:46 hrs</t>
  </si>
  <si>
    <t>00:47 hrs</t>
  </si>
  <si>
    <t>00:48 hrs</t>
  </si>
  <si>
    <t>00:49 hrs</t>
  </si>
  <si>
    <t>00:50 hrs</t>
  </si>
  <si>
    <t>00:51 hrs</t>
  </si>
  <si>
    <t>00:52 hrs</t>
  </si>
  <si>
    <t>00:53 hrs</t>
  </si>
  <si>
    <t>00:54 hrs</t>
  </si>
  <si>
    <t>00:55 hrs</t>
  </si>
  <si>
    <t>00:56 hrs</t>
  </si>
  <si>
    <t>00:57 hrs</t>
  </si>
  <si>
    <t>00:58 hrs</t>
  </si>
  <si>
    <t>00:59 hrs</t>
  </si>
  <si>
    <t>01:00 hrs</t>
  </si>
  <si>
    <t>01:01 hrs</t>
  </si>
  <si>
    <t>01:02 hrs</t>
  </si>
  <si>
    <t>01:03 hrs</t>
  </si>
  <si>
    <t>01:04 hrs</t>
  </si>
  <si>
    <t>01:05 hrs</t>
  </si>
  <si>
    <t>01:06 hrs</t>
  </si>
  <si>
    <t>01:07 hrs</t>
  </si>
  <si>
    <t>01:08 hrs</t>
  </si>
  <si>
    <t>01:09 hrs</t>
  </si>
  <si>
    <t>01:10 hrs</t>
  </si>
  <si>
    <t>01:11 hrs</t>
  </si>
  <si>
    <t>01:12 hrs</t>
  </si>
  <si>
    <t>01:13 hrs</t>
  </si>
  <si>
    <t>01:14 hrs</t>
  </si>
  <si>
    <t>01:15 hrs</t>
  </si>
  <si>
    <t>01:16 hrs</t>
  </si>
  <si>
    <t>01:17 hrs</t>
  </si>
  <si>
    <t>01:18 hrs</t>
  </si>
  <si>
    <t>01:19 hrs</t>
  </si>
  <si>
    <t>01:20 hrs</t>
  </si>
  <si>
    <t>01:21 hrs</t>
  </si>
  <si>
    <t>01:22 hrs</t>
  </si>
  <si>
    <t>01:23 hrs</t>
  </si>
  <si>
    <t>01:24 hrs</t>
  </si>
  <si>
    <t>01:25 hrs</t>
  </si>
  <si>
    <t>01:26 hrs</t>
  </si>
  <si>
    <t>01:27 hrs</t>
  </si>
  <si>
    <t>01:28 hrs</t>
  </si>
  <si>
    <t>01:29 hrs</t>
  </si>
  <si>
    <t>01:30 hrs</t>
  </si>
  <si>
    <t>01:31 hrs</t>
  </si>
  <si>
    <t>01:32 hrs</t>
  </si>
  <si>
    <t>01:33 hrs</t>
  </si>
  <si>
    <t>01:34 hrs</t>
  </si>
  <si>
    <t>01:35 hrs</t>
  </si>
  <si>
    <t>01:36 hrs</t>
  </si>
  <si>
    <t>01:37 hrs</t>
  </si>
  <si>
    <t>01:38 hrs</t>
  </si>
  <si>
    <t>01:39 hrs</t>
  </si>
  <si>
    <t>01:40 hrs</t>
  </si>
  <si>
    <t>01:41 hrs</t>
  </si>
  <si>
    <t>01:42 hrs</t>
  </si>
  <si>
    <t>01:43 hrs</t>
  </si>
  <si>
    <t>01:44 hrs</t>
  </si>
  <si>
    <t>01:45 hrs</t>
  </si>
  <si>
    <t>01:46 hrs</t>
  </si>
  <si>
    <t>01:47 hrs</t>
  </si>
  <si>
    <t>01:48 hrs</t>
  </si>
  <si>
    <t>01:49 hrs</t>
  </si>
  <si>
    <t>01:50 hrs</t>
  </si>
  <si>
    <t>01:51 hrs</t>
  </si>
  <si>
    <t>01:52 hrs</t>
  </si>
  <si>
    <t>01:53 hrs</t>
  </si>
  <si>
    <t>01:54 hrs</t>
  </si>
  <si>
    <t>01:55 hrs</t>
  </si>
  <si>
    <t>01:56 hrs</t>
  </si>
  <si>
    <t>01:57 hrs</t>
  </si>
  <si>
    <t>01:58 hrs</t>
  </si>
  <si>
    <t>01:59 hrs</t>
  </si>
  <si>
    <t>02:00 hrs</t>
  </si>
  <si>
    <t>02:01 hrs</t>
  </si>
  <si>
    <t>02:02 hrs</t>
  </si>
  <si>
    <t>02:03 hrs</t>
  </si>
  <si>
    <t>02:04 hrs</t>
  </si>
  <si>
    <t>02:05 hrs</t>
  </si>
  <si>
    <t>02:06 hrs</t>
  </si>
  <si>
    <t>02:07 hrs</t>
  </si>
  <si>
    <t>02:08 hrs</t>
  </si>
  <si>
    <t>02:09 hrs</t>
  </si>
  <si>
    <t>02:10 hrs</t>
  </si>
  <si>
    <t>02:11 hrs</t>
  </si>
  <si>
    <t>02:12 hrs</t>
  </si>
  <si>
    <t>02:13 hrs</t>
  </si>
  <si>
    <t>02:14 hrs</t>
  </si>
  <si>
    <t>02:15 hrs</t>
  </si>
  <si>
    <t>02:16 hrs</t>
  </si>
  <si>
    <t>02:17 hrs</t>
  </si>
  <si>
    <t>02:18 hrs</t>
  </si>
  <si>
    <t>02:19 hrs</t>
  </si>
  <si>
    <t>02:20 hrs</t>
  </si>
  <si>
    <t>02:21 hrs</t>
  </si>
  <si>
    <t>02:22 hrs</t>
  </si>
  <si>
    <t>02:23 hrs</t>
  </si>
  <si>
    <t>02:24 hrs</t>
  </si>
  <si>
    <t>02:25 hrs</t>
  </si>
  <si>
    <t>02:26 hrs</t>
  </si>
  <si>
    <t>02:27 hrs</t>
  </si>
  <si>
    <t>02:28 hrs</t>
  </si>
  <si>
    <t>02:29 hrs</t>
  </si>
  <si>
    <t>02:30 hrs</t>
  </si>
  <si>
    <t>02:31 hrs</t>
  </si>
  <si>
    <t>02:32 hrs</t>
  </si>
  <si>
    <t>02:33 hrs</t>
  </si>
  <si>
    <t>02:34 hrs</t>
  </si>
  <si>
    <t>02:35 hrs</t>
  </si>
  <si>
    <t>02:36 hrs</t>
  </si>
  <si>
    <t>02:37 hrs</t>
  </si>
  <si>
    <t>02:38 hrs</t>
  </si>
  <si>
    <t>02:39 hrs</t>
  </si>
  <si>
    <t>02:40 hrs</t>
  </si>
  <si>
    <t>02:41 hrs</t>
  </si>
  <si>
    <t>02:42 hrs</t>
  </si>
  <si>
    <t>02:43 hrs</t>
  </si>
  <si>
    <t>02:44 hrs</t>
  </si>
  <si>
    <t>02:45 hrs</t>
  </si>
  <si>
    <t>02:46 hrs</t>
  </si>
  <si>
    <t>02:47 hrs</t>
  </si>
  <si>
    <t>02:48 hrs</t>
  </si>
  <si>
    <t>02:49 hrs</t>
  </si>
  <si>
    <t>02:50 hrs</t>
  </si>
  <si>
    <t>02:51 hrs</t>
  </si>
  <si>
    <t>02:52 hrs</t>
  </si>
  <si>
    <t>02:53 hrs</t>
  </si>
  <si>
    <t>02:54 hrs</t>
  </si>
  <si>
    <t>02:55 hrs</t>
  </si>
  <si>
    <t>02:56 hrs</t>
  </si>
  <si>
    <t>02:57 hrs</t>
  </si>
  <si>
    <t>02:58 hrs</t>
  </si>
  <si>
    <t>02:59 hrs</t>
  </si>
  <si>
    <t>03:00 hrs</t>
  </si>
  <si>
    <t>03:01 hrs</t>
  </si>
  <si>
    <t>03:02 hrs</t>
  </si>
  <si>
    <t>03:03 hrs</t>
  </si>
  <si>
    <t>03:04 hrs</t>
  </si>
  <si>
    <t>03:05 hrs</t>
  </si>
  <si>
    <t>03:06 hrs</t>
  </si>
  <si>
    <t>03:07 hrs</t>
  </si>
  <si>
    <t>03:08 hrs</t>
  </si>
  <si>
    <t>03:09 hrs</t>
  </si>
  <si>
    <t>03:10 hrs</t>
  </si>
  <si>
    <t>03:11 hrs</t>
  </si>
  <si>
    <t>03:12 hrs</t>
  </si>
  <si>
    <t>03:13 hrs</t>
  </si>
  <si>
    <t>03:14 hrs</t>
  </si>
  <si>
    <t>03:15 hrs</t>
  </si>
  <si>
    <t>03:16 hrs</t>
  </si>
  <si>
    <t>03:17 hrs</t>
  </si>
  <si>
    <t>03:18 hrs</t>
  </si>
  <si>
    <t>03:19 hrs</t>
  </si>
  <si>
    <t>03:20 hrs</t>
  </si>
  <si>
    <t>03:21 hrs</t>
  </si>
  <si>
    <t>03:22 hrs</t>
  </si>
  <si>
    <t>03:23 hrs</t>
  </si>
  <si>
    <t>03:24 hrs</t>
  </si>
  <si>
    <t>03:25 hrs</t>
  </si>
  <si>
    <t>03:26 hrs</t>
  </si>
  <si>
    <t>03:27 hrs</t>
  </si>
  <si>
    <t>03:28 hrs</t>
  </si>
  <si>
    <t>03:29 hrs</t>
  </si>
  <si>
    <t>03:30 hrs</t>
  </si>
  <si>
    <t>03:31 hrs</t>
  </si>
  <si>
    <t>03:32 hrs</t>
  </si>
  <si>
    <t>03:33 hrs</t>
  </si>
  <si>
    <t>03:34 hrs</t>
  </si>
  <si>
    <t>03:35 hrs</t>
  </si>
  <si>
    <t>03:36 hrs</t>
  </si>
  <si>
    <t>03:37 hrs</t>
  </si>
  <si>
    <t>03:38 hrs</t>
  </si>
  <si>
    <t>03:39 hrs</t>
  </si>
  <si>
    <t>03:40 hrs</t>
  </si>
  <si>
    <t>03:41 hrs</t>
  </si>
  <si>
    <t>03:42 hrs</t>
  </si>
  <si>
    <t>03:43 hrs</t>
  </si>
  <si>
    <t>03:44 hrs</t>
  </si>
  <si>
    <t>03:45 hrs</t>
  </si>
  <si>
    <t>03:46 hrs</t>
  </si>
  <si>
    <t>03:47 hrs</t>
  </si>
  <si>
    <t>03:48 hrs</t>
  </si>
  <si>
    <t>03:49 hrs</t>
  </si>
  <si>
    <t>03:50 hrs</t>
  </si>
  <si>
    <t>03:51 hrs</t>
  </si>
  <si>
    <t>03:52 hrs</t>
  </si>
  <si>
    <t>03:53 hrs</t>
  </si>
  <si>
    <t>03:54 hrs</t>
  </si>
  <si>
    <t>03:55 hrs</t>
  </si>
  <si>
    <t>03:56 hrs</t>
  </si>
  <si>
    <t>03:57 hrs</t>
  </si>
  <si>
    <t>03:58 hrs</t>
  </si>
  <si>
    <t>03:59 hrs</t>
  </si>
  <si>
    <t>04:00 hrs</t>
  </si>
  <si>
    <t>04:01 hrs</t>
  </si>
  <si>
    <t>04:02 hrs</t>
  </si>
  <si>
    <t>04:03 hrs</t>
  </si>
  <si>
    <t>04:04 hrs</t>
  </si>
  <si>
    <t>04:05 hrs</t>
  </si>
  <si>
    <t>04:06 hrs</t>
  </si>
  <si>
    <t>04:07 hrs</t>
  </si>
  <si>
    <t>04:08 hrs</t>
  </si>
  <si>
    <t>04:09 hrs</t>
  </si>
  <si>
    <t>04:10 hrs</t>
  </si>
  <si>
    <t>04:11 hrs</t>
  </si>
  <si>
    <t>04:12 hrs</t>
  </si>
  <si>
    <t>04:13 hrs</t>
  </si>
  <si>
    <t>04:14 hrs</t>
  </si>
  <si>
    <t>04:15 hrs</t>
  </si>
  <si>
    <t>04:16 hrs</t>
  </si>
  <si>
    <t>04:17 hrs</t>
  </si>
  <si>
    <t>04:18 hrs</t>
  </si>
  <si>
    <t>04:19 hrs</t>
  </si>
  <si>
    <t>04:20 hrs</t>
  </si>
  <si>
    <t>04:21 hrs</t>
  </si>
  <si>
    <t>04:22 hrs</t>
  </si>
  <si>
    <t>04:23 hrs</t>
  </si>
  <si>
    <t>04:24 hrs</t>
  </si>
  <si>
    <t>04:25 hrs</t>
  </si>
  <si>
    <t>04:26 hrs</t>
  </si>
  <si>
    <t>04:27 hrs</t>
  </si>
  <si>
    <t>04:28 hrs</t>
  </si>
  <si>
    <t>04:29 hrs</t>
  </si>
  <si>
    <t>04:30 hrs</t>
  </si>
  <si>
    <t>04:31 hrs</t>
  </si>
  <si>
    <t>04:32 hrs</t>
  </si>
  <si>
    <t>04:33 hrs</t>
  </si>
  <si>
    <t>04:34 hrs</t>
  </si>
  <si>
    <t>04:35 hrs</t>
  </si>
  <si>
    <t>04:36 hrs</t>
  </si>
  <si>
    <t>04:37 hrs</t>
  </si>
  <si>
    <t>04:38 hrs</t>
  </si>
  <si>
    <t>04:39 hrs</t>
  </si>
  <si>
    <t>04:40 hrs</t>
  </si>
  <si>
    <t>04:41 hrs</t>
  </si>
  <si>
    <t>04:42 hrs</t>
  </si>
  <si>
    <t>04:43 hrs</t>
  </si>
  <si>
    <t>04:44 hrs</t>
  </si>
  <si>
    <t>04:45 hrs</t>
  </si>
  <si>
    <t>04:46 hrs</t>
  </si>
  <si>
    <t>04:47 hrs</t>
  </si>
  <si>
    <t>04:48 hrs</t>
  </si>
  <si>
    <t>04:49 hrs</t>
  </si>
  <si>
    <t>04:50 hrs</t>
  </si>
  <si>
    <t>04:51 hrs</t>
  </si>
  <si>
    <t>04:52 hrs</t>
  </si>
  <si>
    <t>04:53 hrs</t>
  </si>
  <si>
    <t>04:54 hrs</t>
  </si>
  <si>
    <t>04:55 hrs</t>
  </si>
  <si>
    <t>04:56 hrs</t>
  </si>
  <si>
    <t>04:57 hrs</t>
  </si>
  <si>
    <t>04:58 hrs</t>
  </si>
  <si>
    <t>04:59 hrs</t>
  </si>
  <si>
    <t>05:00 hrs</t>
  </si>
  <si>
    <t>05:01 hrs</t>
  </si>
  <si>
    <t>05:02 hrs</t>
  </si>
  <si>
    <t>05:03 hrs</t>
  </si>
  <si>
    <t>05:04 hrs</t>
  </si>
  <si>
    <t>05:05 hrs</t>
  </si>
  <si>
    <t>05:06 hrs</t>
  </si>
  <si>
    <t>05:07 hrs</t>
  </si>
  <si>
    <t>05:08 hrs</t>
  </si>
  <si>
    <t>05:09 hrs</t>
  </si>
  <si>
    <t>05:10 hrs</t>
  </si>
  <si>
    <t>05:11 hrs</t>
  </si>
  <si>
    <t>05:12 hrs</t>
  </si>
  <si>
    <t>05:13 hrs</t>
  </si>
  <si>
    <t>05:14 hrs</t>
  </si>
  <si>
    <t>05:15 hrs</t>
  </si>
  <si>
    <t>05:16 hrs</t>
  </si>
  <si>
    <t>05:17 hrs</t>
  </si>
  <si>
    <t>05:18 hrs</t>
  </si>
  <si>
    <t>05:19 hrs</t>
  </si>
  <si>
    <t>05:20 hrs</t>
  </si>
  <si>
    <t>05:21 hrs</t>
  </si>
  <si>
    <t>05:22 hrs</t>
  </si>
  <si>
    <t>05:23 hrs</t>
  </si>
  <si>
    <t>05:24 hrs</t>
  </si>
  <si>
    <t>05:25 hrs</t>
  </si>
  <si>
    <t>05:26 hrs</t>
  </si>
  <si>
    <t>05:27 hrs</t>
  </si>
  <si>
    <t>05:28 hrs</t>
  </si>
  <si>
    <t>05:29 hrs</t>
  </si>
  <si>
    <t>05:30 hrs</t>
  </si>
  <si>
    <t>05:31 hrs</t>
  </si>
  <si>
    <t>05:32 hrs</t>
  </si>
  <si>
    <t>05:33 hrs</t>
  </si>
  <si>
    <t>05:34 hrs</t>
  </si>
  <si>
    <t>05:35 hrs</t>
  </si>
  <si>
    <t>05:36 hrs</t>
  </si>
  <si>
    <t>05:37 hrs</t>
  </si>
  <si>
    <t>05:38 hrs</t>
  </si>
  <si>
    <t>05:39 hrs</t>
  </si>
  <si>
    <t>05:40 hrs</t>
  </si>
  <si>
    <t>05:41 hrs</t>
  </si>
  <si>
    <t>05:42 hrs</t>
  </si>
  <si>
    <t>05:43 hrs</t>
  </si>
  <si>
    <t>05:44 hrs</t>
  </si>
  <si>
    <t>05:45 hrs</t>
  </si>
  <si>
    <t>05:46 hrs</t>
  </si>
  <si>
    <t>05:47 hrs</t>
  </si>
  <si>
    <t>05:48 hrs</t>
  </si>
  <si>
    <t>05:49 hrs</t>
  </si>
  <si>
    <t>05:50 hrs</t>
  </si>
  <si>
    <t>05:51 hrs</t>
  </si>
  <si>
    <t>05:52 hrs</t>
  </si>
  <si>
    <t>05:53 hrs</t>
  </si>
  <si>
    <t>05:54 hrs</t>
  </si>
  <si>
    <t>05:55 hrs</t>
  </si>
  <si>
    <t>05:56 hrs</t>
  </si>
  <si>
    <t>05:57 hrs</t>
  </si>
  <si>
    <t>05:58 hrs</t>
  </si>
  <si>
    <t>05:59 hrs</t>
  </si>
  <si>
    <t>06:00 hrs</t>
  </si>
  <si>
    <t>06:01 hrs</t>
  </si>
  <si>
    <t>06:02 hrs</t>
  </si>
  <si>
    <t>06:03 hrs</t>
  </si>
  <si>
    <t>06:04 hrs</t>
  </si>
  <si>
    <t>06:05 hrs</t>
  </si>
  <si>
    <t>06:06 hrs</t>
  </si>
  <si>
    <t>06:07 hrs</t>
  </si>
  <si>
    <t>06:08 hrs</t>
  </si>
  <si>
    <t>06:09 hrs</t>
  </si>
  <si>
    <t>06:10 hrs</t>
  </si>
  <si>
    <t>06:11 hrs</t>
  </si>
  <si>
    <t>06:12 hrs</t>
  </si>
  <si>
    <t>06:13 hrs</t>
  </si>
  <si>
    <t>06:14 hrs</t>
  </si>
  <si>
    <t>06:15 hrs</t>
  </si>
  <si>
    <t>06:16 hrs</t>
  </si>
  <si>
    <t>06:17 hrs</t>
  </si>
  <si>
    <t>06:18 hrs</t>
  </si>
  <si>
    <t>06:19 hrs</t>
  </si>
  <si>
    <t>06:20 hrs</t>
  </si>
  <si>
    <t>06:21 hrs</t>
  </si>
  <si>
    <t>06:22 hrs</t>
  </si>
  <si>
    <t>06:23 hrs</t>
  </si>
  <si>
    <t>06:24 hrs</t>
  </si>
  <si>
    <t>06:25 hrs</t>
  </si>
  <si>
    <t>06:26 hrs</t>
  </si>
  <si>
    <t>06:27 hrs</t>
  </si>
  <si>
    <t>06:28 hrs</t>
  </si>
  <si>
    <t>06:29 hrs</t>
  </si>
  <si>
    <t>06:30 hrs</t>
  </si>
  <si>
    <t>06:31 hrs</t>
  </si>
  <si>
    <t>06:32 hrs</t>
  </si>
  <si>
    <t>06:33 hrs</t>
  </si>
  <si>
    <t>06:34 hrs</t>
  </si>
  <si>
    <t>06:35 hrs</t>
  </si>
  <si>
    <t>06:36 hrs</t>
  </si>
  <si>
    <t>06:37 hrs</t>
  </si>
  <si>
    <t>06:38 hrs</t>
  </si>
  <si>
    <t>06:39 hrs</t>
  </si>
  <si>
    <t>06:40 hrs</t>
  </si>
  <si>
    <t>06:41 hrs</t>
  </si>
  <si>
    <t>06:42 hrs</t>
  </si>
  <si>
    <t>06:43 hrs</t>
  </si>
  <si>
    <t>06:44 hrs</t>
  </si>
  <si>
    <t>06:45 hrs</t>
  </si>
  <si>
    <t>06:46 hrs</t>
  </si>
  <si>
    <t>06:47 hrs</t>
  </si>
  <si>
    <t>06:48 hrs</t>
  </si>
  <si>
    <t>06:49 hrs</t>
  </si>
  <si>
    <t>06:50 hrs</t>
  </si>
  <si>
    <t>06:51 hrs</t>
  </si>
  <si>
    <t>06:52 hrs</t>
  </si>
  <si>
    <t>06:53 hrs</t>
  </si>
  <si>
    <t>06:54 hrs</t>
  </si>
  <si>
    <t>06:55 hrs</t>
  </si>
  <si>
    <t>06:56 hrs</t>
  </si>
  <si>
    <t>06:57 hrs</t>
  </si>
  <si>
    <t>06:58 hrs</t>
  </si>
  <si>
    <t>06:59 hrs</t>
  </si>
  <si>
    <t>07:00 hrs</t>
  </si>
  <si>
    <t>07:01 hrs</t>
  </si>
  <si>
    <t>07:02 hrs</t>
  </si>
  <si>
    <t>07:03 hrs</t>
  </si>
  <si>
    <t>07:04 hrs</t>
  </si>
  <si>
    <t>07:05 hrs</t>
  </si>
  <si>
    <t>07:06 hrs</t>
  </si>
  <si>
    <t>07:07 hrs</t>
  </si>
  <si>
    <t>07:08 hrs</t>
  </si>
  <si>
    <t>07:09 hrs</t>
  </si>
  <si>
    <t>07:10 hrs</t>
  </si>
  <si>
    <t>07:11 hrs</t>
  </si>
  <si>
    <t>07:12 hrs</t>
  </si>
  <si>
    <t>07:13 hrs</t>
  </si>
  <si>
    <t>07:14 hrs</t>
  </si>
  <si>
    <t>07:15 hrs</t>
  </si>
  <si>
    <t>07:16 hrs</t>
  </si>
  <si>
    <t>07:17 hrs</t>
  </si>
  <si>
    <t>07:18 hrs</t>
  </si>
  <si>
    <t>07:19 hrs</t>
  </si>
  <si>
    <t>07:20 hrs</t>
  </si>
  <si>
    <t>07:21 hrs</t>
  </si>
  <si>
    <t>07:22 hrs</t>
  </si>
  <si>
    <t>07:23 hrs</t>
  </si>
  <si>
    <t>07:24 hrs</t>
  </si>
  <si>
    <t>07:25 hrs</t>
  </si>
  <si>
    <t>07:26 hrs</t>
  </si>
  <si>
    <t>07:27 hrs</t>
  </si>
  <si>
    <t>07:28 hrs</t>
  </si>
  <si>
    <t>07:29 hrs</t>
  </si>
  <si>
    <t>07:30 hrs</t>
  </si>
  <si>
    <t>07:31 hrs</t>
  </si>
  <si>
    <t>07:32 hrs</t>
  </si>
  <si>
    <t>07:33 hrs</t>
  </si>
  <si>
    <t>07:34 hrs</t>
  </si>
  <si>
    <t>07:35 hrs</t>
  </si>
  <si>
    <t>07:36 hrs</t>
  </si>
  <si>
    <t>07:37 hrs</t>
  </si>
  <si>
    <t>07:38 hrs</t>
  </si>
  <si>
    <t>07:39 hrs</t>
  </si>
  <si>
    <t>07:40 hrs</t>
  </si>
  <si>
    <t>07:41 hrs</t>
  </si>
  <si>
    <t>07:42 hrs</t>
  </si>
  <si>
    <t>07:43 hrs</t>
  </si>
  <si>
    <t>07:44 hrs</t>
  </si>
  <si>
    <t>07:45 hrs</t>
  </si>
  <si>
    <t>07:46 hrs</t>
  </si>
  <si>
    <t>07:47 hrs</t>
  </si>
  <si>
    <t>07:48 hrs</t>
  </si>
  <si>
    <t>07:49 hrs</t>
  </si>
  <si>
    <t>07:50 hrs</t>
  </si>
  <si>
    <t>07:51 hrs</t>
  </si>
  <si>
    <t>07:52 hrs</t>
  </si>
  <si>
    <t>07:53 hrs</t>
  </si>
  <si>
    <t>07:54 hrs</t>
  </si>
  <si>
    <t>07:55 hrs</t>
  </si>
  <si>
    <t>07:56 hrs</t>
  </si>
  <si>
    <t>07:57 hrs</t>
  </si>
  <si>
    <t>07:58 hrs</t>
  </si>
  <si>
    <t>07:59 hrs</t>
  </si>
  <si>
    <t>08:00 hrs</t>
  </si>
  <si>
    <t>08:01 hrs</t>
  </si>
  <si>
    <t>08:02 hrs</t>
  </si>
  <si>
    <t>08:03 hrs</t>
  </si>
  <si>
    <t>08:04 hrs</t>
  </si>
  <si>
    <t>08:05 hrs</t>
  </si>
  <si>
    <t>08:06 hrs</t>
  </si>
  <si>
    <t>08:07 hrs</t>
  </si>
  <si>
    <t>08:08 hrs</t>
  </si>
  <si>
    <t>08:09 hrs</t>
  </si>
  <si>
    <t>08:10 hrs</t>
  </si>
  <si>
    <t>08:11 hrs</t>
  </si>
  <si>
    <t>08:12 hrs</t>
  </si>
  <si>
    <t>08:13 hrs</t>
  </si>
  <si>
    <t>08:14 hrs</t>
  </si>
  <si>
    <t>08:15 hrs</t>
  </si>
  <si>
    <t>08:16 hrs</t>
  </si>
  <si>
    <t>08:17 hrs</t>
  </si>
  <si>
    <t>08:18 hrs</t>
  </si>
  <si>
    <t>08:19 hrs</t>
  </si>
  <si>
    <t>08:20 hrs</t>
  </si>
  <si>
    <t>08:21 hrs</t>
  </si>
  <si>
    <t>08:22 hrs</t>
  </si>
  <si>
    <t>08:23 hrs</t>
  </si>
  <si>
    <t>08:24 hrs</t>
  </si>
  <si>
    <t>08:25 hrs</t>
  </si>
  <si>
    <t>08:26 hrs</t>
  </si>
  <si>
    <t>08:27 hrs</t>
  </si>
  <si>
    <t>08:28 hrs</t>
  </si>
  <si>
    <t>08:29 hrs</t>
  </si>
  <si>
    <t>08:30 hrs</t>
  </si>
  <si>
    <t>08:31 hrs</t>
  </si>
  <si>
    <t>08:32 hrs</t>
  </si>
  <si>
    <t>08:33 hrs</t>
  </si>
  <si>
    <t>08:34 hrs</t>
  </si>
  <si>
    <t>08:35 hrs</t>
  </si>
  <si>
    <t>08:36 hrs</t>
  </si>
  <si>
    <t>08:37 hrs</t>
  </si>
  <si>
    <t>08:38 hrs</t>
  </si>
  <si>
    <t>08:39 hrs</t>
  </si>
  <si>
    <t>08:40 hrs</t>
  </si>
  <si>
    <t>08:41 hrs</t>
  </si>
  <si>
    <t>08:42 hrs</t>
  </si>
  <si>
    <t>08:43 hrs</t>
  </si>
  <si>
    <t>08:44 hrs</t>
  </si>
  <si>
    <t>08:45 hrs</t>
  </si>
  <si>
    <t>08:46 hrs</t>
  </si>
  <si>
    <t>08:47 hrs</t>
  </si>
  <si>
    <t>08:48 hrs</t>
  </si>
  <si>
    <t>08:49 hrs</t>
  </si>
  <si>
    <t>08:50 hrs</t>
  </si>
  <si>
    <t>08:51 hrs</t>
  </si>
  <si>
    <t>08:52 hrs</t>
  </si>
  <si>
    <t>08:53 hrs</t>
  </si>
  <si>
    <t>08:54 hrs</t>
  </si>
  <si>
    <t>08:55 hrs</t>
  </si>
  <si>
    <t>08:56 hrs</t>
  </si>
  <si>
    <t>08:57 hrs</t>
  </si>
  <si>
    <t>08:58 hrs</t>
  </si>
  <si>
    <t>08:59 hrs</t>
  </si>
  <si>
    <t>09:00 hrs</t>
  </si>
  <si>
    <t>09:01 hrs</t>
  </si>
  <si>
    <t>09:02 hrs</t>
  </si>
  <si>
    <t>09:03 hrs</t>
  </si>
  <si>
    <t>09:04 hrs</t>
  </si>
  <si>
    <t>09:05 hrs</t>
  </si>
  <si>
    <t>09:06 hrs</t>
  </si>
  <si>
    <t>09:07 hrs</t>
  </si>
  <si>
    <t>09:08 hrs</t>
  </si>
  <si>
    <t>09:09 hrs</t>
  </si>
  <si>
    <t>09:10 hrs</t>
  </si>
  <si>
    <t>09:11 hrs</t>
  </si>
  <si>
    <t>09:12 hrs</t>
  </si>
  <si>
    <t>09:13 hrs</t>
  </si>
  <si>
    <t>09:14 hrs</t>
  </si>
  <si>
    <t>09:15 hrs</t>
  </si>
  <si>
    <t>09:16 hrs</t>
  </si>
  <si>
    <t>09:17 hrs</t>
  </si>
  <si>
    <t>09:18 hrs</t>
  </si>
  <si>
    <t>09:19 hrs</t>
  </si>
  <si>
    <t>09:20 hrs</t>
  </si>
  <si>
    <t>09:21 hrs</t>
  </si>
  <si>
    <t>09:22 hrs</t>
  </si>
  <si>
    <t>09:23 hrs</t>
  </si>
  <si>
    <t>09:24 hrs</t>
  </si>
  <si>
    <t>09:25 hrs</t>
  </si>
  <si>
    <t>09:26 hrs</t>
  </si>
  <si>
    <t>09:27 hrs</t>
  </si>
  <si>
    <t>09:28 hrs</t>
  </si>
  <si>
    <t>09:29 hrs</t>
  </si>
  <si>
    <t>09:30 hrs</t>
  </si>
  <si>
    <t>09:31 hrs</t>
  </si>
  <si>
    <t>09:32 hrs</t>
  </si>
  <si>
    <t>09:33 hrs</t>
  </si>
  <si>
    <t>09:34 hrs</t>
  </si>
  <si>
    <t>09:35 hrs</t>
  </si>
  <si>
    <t>09:36 hrs</t>
  </si>
  <si>
    <t>09:37 hrs</t>
  </si>
  <si>
    <t>09:38 hrs</t>
  </si>
  <si>
    <t>09:39 hrs</t>
  </si>
  <si>
    <t>09:40 hrs</t>
  </si>
  <si>
    <t>09:41 hrs</t>
  </si>
  <si>
    <t>09:42 hrs</t>
  </si>
  <si>
    <t>09:43 hrs</t>
  </si>
  <si>
    <t>09:44 hrs</t>
  </si>
  <si>
    <t>09:45 hrs</t>
  </si>
  <si>
    <t>09:46 hrs</t>
  </si>
  <si>
    <t>09:47 hrs</t>
  </si>
  <si>
    <t>09:48 hrs</t>
  </si>
  <si>
    <t>09:49 hrs</t>
  </si>
  <si>
    <t>09:50 hrs</t>
  </si>
  <si>
    <t>09:51 hrs</t>
  </si>
  <si>
    <t>09:52 hrs</t>
  </si>
  <si>
    <t>09:53 hrs</t>
  </si>
  <si>
    <t>09:54 hrs</t>
  </si>
  <si>
    <t>09:55 hrs</t>
  </si>
  <si>
    <t>09:56 hrs</t>
  </si>
  <si>
    <t>09:57 hrs</t>
  </si>
  <si>
    <t>09:58 hrs</t>
  </si>
  <si>
    <t>09:59 hrs</t>
  </si>
  <si>
    <t>10:00 hrs</t>
  </si>
  <si>
    <t>10:01 hrs</t>
  </si>
  <si>
    <t>10:02 hrs</t>
  </si>
  <si>
    <t>10:03 hrs</t>
  </si>
  <si>
    <t>10:04 hrs</t>
  </si>
  <si>
    <t>10:05 hrs</t>
  </si>
  <si>
    <t>10:06 hrs</t>
  </si>
  <si>
    <t>10:07 hrs</t>
  </si>
  <si>
    <t>10:08 hrs</t>
  </si>
  <si>
    <t>10:09 hrs</t>
  </si>
  <si>
    <t>10:10 hrs</t>
  </si>
  <si>
    <t>10:11 hrs</t>
  </si>
  <si>
    <t>10:12 hrs</t>
  </si>
  <si>
    <t>10:13 hrs</t>
  </si>
  <si>
    <t>10:14 hrs</t>
  </si>
  <si>
    <t>10:15 hrs</t>
  </si>
  <si>
    <t>10:16 hrs</t>
  </si>
  <si>
    <t>10:17 hrs</t>
  </si>
  <si>
    <t>10:18 hrs</t>
  </si>
  <si>
    <t>10:19 hrs</t>
  </si>
  <si>
    <t>10:20 hrs</t>
  </si>
  <si>
    <t>10:21 hrs</t>
  </si>
  <si>
    <t>10:22 hrs</t>
  </si>
  <si>
    <t>10:23 hrs</t>
  </si>
  <si>
    <t>10:24 hrs</t>
  </si>
  <si>
    <t>10:25 hrs</t>
  </si>
  <si>
    <t>10:26 hrs</t>
  </si>
  <si>
    <t>10:27 hrs</t>
  </si>
  <si>
    <t>10:28 hrs</t>
  </si>
  <si>
    <t>10:29 hrs</t>
  </si>
  <si>
    <t>10:30 hrs</t>
  </si>
  <si>
    <t>10:31 hrs</t>
  </si>
  <si>
    <t>10:32 hrs</t>
  </si>
  <si>
    <t>10:33 hrs</t>
  </si>
  <si>
    <t>10:34 hrs</t>
  </si>
  <si>
    <t>10:35 hrs</t>
  </si>
  <si>
    <t>10:36 hrs</t>
  </si>
  <si>
    <t>10:37 hrs</t>
  </si>
  <si>
    <t>10:38 hrs</t>
  </si>
  <si>
    <t>10:39 hrs</t>
  </si>
  <si>
    <t>10:40 hrs</t>
  </si>
  <si>
    <t>10:41 hrs</t>
  </si>
  <si>
    <t>10:42 hrs</t>
  </si>
  <si>
    <t>10:43 hrs</t>
  </si>
  <si>
    <t>10:44 hrs</t>
  </si>
  <si>
    <t>10:45 hrs</t>
  </si>
  <si>
    <t>10:46 hrs</t>
  </si>
  <si>
    <t>10:47 hrs</t>
  </si>
  <si>
    <t>10:48 hrs</t>
  </si>
  <si>
    <t>10:49 hrs</t>
  </si>
  <si>
    <t>10:50 hrs</t>
  </si>
  <si>
    <t>10:51 hrs</t>
  </si>
  <si>
    <t>10:52 hrs</t>
  </si>
  <si>
    <t>10:53 hrs</t>
  </si>
  <si>
    <t>10:54 hrs</t>
  </si>
  <si>
    <t>10:55 hrs</t>
  </si>
  <si>
    <t>10:56 hrs</t>
  </si>
  <si>
    <t>10:57 hrs</t>
  </si>
  <si>
    <t>10:58 hrs</t>
  </si>
  <si>
    <t>10:59 hrs</t>
  </si>
  <si>
    <t>11:00 hrs</t>
  </si>
  <si>
    <t>11:01 hrs</t>
  </si>
  <si>
    <t>11:02 hrs</t>
  </si>
  <si>
    <t>11:03 hrs</t>
  </si>
  <si>
    <t>11:04 hrs</t>
  </si>
  <si>
    <t>11:05 hrs</t>
  </si>
  <si>
    <t>11:06 hrs</t>
  </si>
  <si>
    <t>11:07 hrs</t>
  </si>
  <si>
    <t>11:08 hrs</t>
  </si>
  <si>
    <t>11:09 hrs</t>
  </si>
  <si>
    <t>11:10 hrs</t>
  </si>
  <si>
    <t>11:11 hrs</t>
  </si>
  <si>
    <t>11:12 hrs</t>
  </si>
  <si>
    <t>11:13 hrs</t>
  </si>
  <si>
    <t>11:14 hrs</t>
  </si>
  <si>
    <t>11:15 hrs</t>
  </si>
  <si>
    <t>11:16 hrs</t>
  </si>
  <si>
    <t>11:17 hrs</t>
  </si>
  <si>
    <t>11:18 hrs</t>
  </si>
  <si>
    <t>11:19 hrs</t>
  </si>
  <si>
    <t>11:20 hrs</t>
  </si>
  <si>
    <t>11:21 hrs</t>
  </si>
  <si>
    <t>11:22 hrs</t>
  </si>
  <si>
    <t>11:23 hrs</t>
  </si>
  <si>
    <t>11:24 hrs</t>
  </si>
  <si>
    <t>11:25 hrs</t>
  </si>
  <si>
    <t>11:26 hrs</t>
  </si>
  <si>
    <t>11:27 hrs</t>
  </si>
  <si>
    <t>11:28 hrs</t>
  </si>
  <si>
    <t>11:29 hrs</t>
  </si>
  <si>
    <t>11:30 hrs</t>
  </si>
  <si>
    <t>11:31 hrs</t>
  </si>
  <si>
    <t>11:32 hrs</t>
  </si>
  <si>
    <t>11:33 hrs</t>
  </si>
  <si>
    <t>11:34 hrs</t>
  </si>
  <si>
    <t>11:35 hrs</t>
  </si>
  <si>
    <t>11:36 hrs</t>
  </si>
  <si>
    <t>11:37 hrs</t>
  </si>
  <si>
    <t>11:38 hrs</t>
  </si>
  <si>
    <t>11:39 hrs</t>
  </si>
  <si>
    <t>11:40 hrs</t>
  </si>
  <si>
    <t>11:41 hrs</t>
  </si>
  <si>
    <t>11:42 hrs</t>
  </si>
  <si>
    <t>11:43 hrs</t>
  </si>
  <si>
    <t>11:44 hrs</t>
  </si>
  <si>
    <t>11:45 hrs</t>
  </si>
  <si>
    <t>11:46 hrs</t>
  </si>
  <si>
    <t>11:47 hrs</t>
  </si>
  <si>
    <t>11:48 hrs</t>
  </si>
  <si>
    <t>11:49 hrs</t>
  </si>
  <si>
    <t>11:50 hrs</t>
  </si>
  <si>
    <t>11:51 hrs</t>
  </si>
  <si>
    <t>11:52 hrs</t>
  </si>
  <si>
    <t>11:53 hrs</t>
  </si>
  <si>
    <t>11:54 hrs</t>
  </si>
  <si>
    <t>11:55 hrs</t>
  </si>
  <si>
    <t>11:56 hrs</t>
  </si>
  <si>
    <t>11:57 hrs</t>
  </si>
  <si>
    <t>11:58 hrs</t>
  </si>
  <si>
    <t>11:59 hrs</t>
  </si>
  <si>
    <t>12:00 hrs</t>
  </si>
  <si>
    <t>12:01 hrs</t>
  </si>
  <si>
    <t>12:02 hrs</t>
  </si>
  <si>
    <t>12:03 hrs</t>
  </si>
  <si>
    <t>12:04 hrs</t>
  </si>
  <si>
    <t>12:05 hrs</t>
  </si>
  <si>
    <t>12:06 hrs</t>
  </si>
  <si>
    <t>12:07 hrs</t>
  </si>
  <si>
    <t>12:08 hrs</t>
  </si>
  <si>
    <t>12:09 hrs</t>
  </si>
  <si>
    <t>12:10 hrs</t>
  </si>
  <si>
    <t>12:11 hrs</t>
  </si>
  <si>
    <t>12:12 hrs</t>
  </si>
  <si>
    <t>12:13 hrs</t>
  </si>
  <si>
    <t>12:14 hrs</t>
  </si>
  <si>
    <t>12:15 hrs</t>
  </si>
  <si>
    <t>12:16 hrs</t>
  </si>
  <si>
    <t>12:17 hrs</t>
  </si>
  <si>
    <t>12:18 hrs</t>
  </si>
  <si>
    <t>12:19 hrs</t>
  </si>
  <si>
    <t>12:20 hrs</t>
  </si>
  <si>
    <t>12:21 hrs</t>
  </si>
  <si>
    <t>12:22 hrs</t>
  </si>
  <si>
    <t>12:23 hrs</t>
  </si>
  <si>
    <t>12:24 hrs</t>
  </si>
  <si>
    <t>12:25 hrs</t>
  </si>
  <si>
    <t>12:26 hrs</t>
  </si>
  <si>
    <t>12:27 hrs</t>
  </si>
  <si>
    <t>12:28 hrs</t>
  </si>
  <si>
    <t>12:29 hrs</t>
  </si>
  <si>
    <t>12:30 hrs</t>
  </si>
  <si>
    <t>12:31 hrs</t>
  </si>
  <si>
    <t>12:32 hrs</t>
  </si>
  <si>
    <t>12:33 hrs</t>
  </si>
  <si>
    <t>12:34 hrs</t>
  </si>
  <si>
    <t>12:35 hrs</t>
  </si>
  <si>
    <t>12:36 hrs</t>
  </si>
  <si>
    <t>12:37 hrs</t>
  </si>
  <si>
    <t>12:38 hrs</t>
  </si>
  <si>
    <t>12:39 hrs</t>
  </si>
  <si>
    <t>12:40 hrs</t>
  </si>
  <si>
    <t>12:41 hrs</t>
  </si>
  <si>
    <t>12:42 hrs</t>
  </si>
  <si>
    <t>12:43 hrs</t>
  </si>
  <si>
    <t>12:44 hrs</t>
  </si>
  <si>
    <t>12:45 hrs</t>
  </si>
  <si>
    <t>12:46 hrs</t>
  </si>
  <si>
    <t>12:47 hrs</t>
  </si>
  <si>
    <t>12:48 hrs</t>
  </si>
  <si>
    <t>12:49 hrs</t>
  </si>
  <si>
    <t>12:50 hrs</t>
  </si>
  <si>
    <t>12:51 hrs</t>
  </si>
  <si>
    <t>12:52 hrs</t>
  </si>
  <si>
    <t>12:53 hrs</t>
  </si>
  <si>
    <t>12:54 hrs</t>
  </si>
  <si>
    <t>12:55 hrs</t>
  </si>
  <si>
    <t>12:56 hrs</t>
  </si>
  <si>
    <t>12:57 hrs</t>
  </si>
  <si>
    <t>12:58 hrs</t>
  </si>
  <si>
    <t>12:59 hrs</t>
  </si>
  <si>
    <t>13:00 hrs</t>
  </si>
  <si>
    <t>13:01 hrs</t>
  </si>
  <si>
    <t>13:02 hrs</t>
  </si>
  <si>
    <t>13:03 hrs</t>
  </si>
  <si>
    <t>13:04 hrs</t>
  </si>
  <si>
    <t>13:05 hrs</t>
  </si>
  <si>
    <t>13:06 hrs</t>
  </si>
  <si>
    <t>13:07 hrs</t>
  </si>
  <si>
    <t>13:08 hrs</t>
  </si>
  <si>
    <t>13:09 hrs</t>
  </si>
  <si>
    <t>13:10 hrs</t>
  </si>
  <si>
    <t>13:11 hrs</t>
  </si>
  <si>
    <t>13:12 hrs</t>
  </si>
  <si>
    <t>13:13 hrs</t>
  </si>
  <si>
    <t>13:14 hrs</t>
  </si>
  <si>
    <t>13:15 hrs</t>
  </si>
  <si>
    <t>13:16 hrs</t>
  </si>
  <si>
    <t>13:17 hrs</t>
  </si>
  <si>
    <t>13:18 hrs</t>
  </si>
  <si>
    <t>13:19 hrs</t>
  </si>
  <si>
    <t>13:20 hrs</t>
  </si>
  <si>
    <t>13:21 hrs</t>
  </si>
  <si>
    <t>13:22 hrs</t>
  </si>
  <si>
    <t>13:23 hrs</t>
  </si>
  <si>
    <t>13:24 hrs</t>
  </si>
  <si>
    <t>13:25 hrs</t>
  </si>
  <si>
    <t>13:26 hrs</t>
  </si>
  <si>
    <t>13:27 hrs</t>
  </si>
  <si>
    <t>13:28 hrs</t>
  </si>
  <si>
    <t>13:29 hrs</t>
  </si>
  <si>
    <t>13:30 hrs</t>
  </si>
  <si>
    <t>13:31 hrs</t>
  </si>
  <si>
    <t>13:32 hrs</t>
  </si>
  <si>
    <t>13:33 hrs</t>
  </si>
  <si>
    <t>13:34 hrs</t>
  </si>
  <si>
    <t>13:35 hrs</t>
  </si>
  <si>
    <t>13:36 hrs</t>
  </si>
  <si>
    <t>13:37 hrs</t>
  </si>
  <si>
    <t>13:38 hrs</t>
  </si>
  <si>
    <t>13:39 hrs</t>
  </si>
  <si>
    <t>13:40 hrs</t>
  </si>
  <si>
    <t>13:41 hrs</t>
  </si>
  <si>
    <t>13:42 hrs</t>
  </si>
  <si>
    <t>13:43 hrs</t>
  </si>
  <si>
    <t>13:44 hrs</t>
  </si>
  <si>
    <t>13:45 hrs</t>
  </si>
  <si>
    <t>13:46 hrs</t>
  </si>
  <si>
    <t>13:47 hrs</t>
  </si>
  <si>
    <t>13:48 hrs</t>
  </si>
  <si>
    <t>13:49 hrs</t>
  </si>
  <si>
    <t>13:50 hrs</t>
  </si>
  <si>
    <t>13:51 hrs</t>
  </si>
  <si>
    <t>13:52 hrs</t>
  </si>
  <si>
    <t>13:53 hrs</t>
  </si>
  <si>
    <t>13:54 hrs</t>
  </si>
  <si>
    <t>13:55 hrs</t>
  </si>
  <si>
    <t>13:56 hrs</t>
  </si>
  <si>
    <t>13:57 hrs</t>
  </si>
  <si>
    <t>13:58 hrs</t>
  </si>
  <si>
    <t>13:59 hrs</t>
  </si>
  <si>
    <t>14:00 hrs</t>
  </si>
  <si>
    <t>14:01 hrs</t>
  </si>
  <si>
    <t>14:02 hrs</t>
  </si>
  <si>
    <t>14:03 hrs</t>
  </si>
  <si>
    <t>14:04 hrs</t>
  </si>
  <si>
    <t>14:05 hrs</t>
  </si>
  <si>
    <t>14:06 hrs</t>
  </si>
  <si>
    <t>14:07 hrs</t>
  </si>
  <si>
    <t>14:08 hrs</t>
  </si>
  <si>
    <t>14:09 hrs</t>
  </si>
  <si>
    <t>14:10 hrs</t>
  </si>
  <si>
    <t>14:11 hrs</t>
  </si>
  <si>
    <t>14:12 hrs</t>
  </si>
  <si>
    <t>14:13 hrs</t>
  </si>
  <si>
    <t>14:14 hrs</t>
  </si>
  <si>
    <t>14:15 hrs</t>
  </si>
  <si>
    <t>14:16 hrs</t>
  </si>
  <si>
    <t>14:17 hrs</t>
  </si>
  <si>
    <t>14:18 hrs</t>
  </si>
  <si>
    <t>14:19 hrs</t>
  </si>
  <si>
    <t>14:20 hrs</t>
  </si>
  <si>
    <t>14:21 hrs</t>
  </si>
  <si>
    <t>14:22 hrs</t>
  </si>
  <si>
    <t>14:23 hrs</t>
  </si>
  <si>
    <t>14:24 hrs</t>
  </si>
  <si>
    <t>14:25 hrs</t>
  </si>
  <si>
    <t>14:26 hrs</t>
  </si>
  <si>
    <t>14:27 hrs</t>
  </si>
  <si>
    <t>14:28 hrs</t>
  </si>
  <si>
    <t>14:29 hrs</t>
  </si>
  <si>
    <t>14:30 hrs</t>
  </si>
  <si>
    <t>14:31 hrs</t>
  </si>
  <si>
    <t>14:32 hrs</t>
  </si>
  <si>
    <t>14:33 hrs</t>
  </si>
  <si>
    <t>14:34 hrs</t>
  </si>
  <si>
    <t>14:35 hrs</t>
  </si>
  <si>
    <t>14:36 hrs</t>
  </si>
  <si>
    <t>14:37 hrs</t>
  </si>
  <si>
    <t>14:38 hrs</t>
  </si>
  <si>
    <t>14:39 hrs</t>
  </si>
  <si>
    <t>14:40 hrs</t>
  </si>
  <si>
    <t>14:41 hrs</t>
  </si>
  <si>
    <t>14:42 hrs</t>
  </si>
  <si>
    <t>14:43 hrs</t>
  </si>
  <si>
    <t>14:44 hrs</t>
  </si>
  <si>
    <t>14:45 hrs</t>
  </si>
  <si>
    <t>14:46 hrs</t>
  </si>
  <si>
    <t>14:47 hrs</t>
  </si>
  <si>
    <t>14:48 hrs</t>
  </si>
  <si>
    <t>14:49 hrs</t>
  </si>
  <si>
    <t>14:50 hrs</t>
  </si>
  <si>
    <t>14:51 hrs</t>
  </si>
  <si>
    <t>14:52 hrs</t>
  </si>
  <si>
    <t>14:53 hrs</t>
  </si>
  <si>
    <t>14:54 hrs</t>
  </si>
  <si>
    <t>14:55 hrs</t>
  </si>
  <si>
    <t>14:56 hrs</t>
  </si>
  <si>
    <t>14:57 hrs</t>
  </si>
  <si>
    <t>14:58 hrs</t>
  </si>
  <si>
    <t>14:59 hrs</t>
  </si>
  <si>
    <t>15:00 hrs</t>
  </si>
  <si>
    <t>15:01 hrs</t>
  </si>
  <si>
    <t>15:02 hrs</t>
  </si>
  <si>
    <t>15:03 hrs</t>
  </si>
  <si>
    <t>15:04 hrs</t>
  </si>
  <si>
    <t>15:05 hrs</t>
  </si>
  <si>
    <t>15:06 hrs</t>
  </si>
  <si>
    <t>15:07 hrs</t>
  </si>
  <si>
    <t>15:08 hrs</t>
  </si>
  <si>
    <t>15:09 hrs</t>
  </si>
  <si>
    <t>15:10 hrs</t>
  </si>
  <si>
    <t>15:11 hrs</t>
  </si>
  <si>
    <t>15:12 hrs</t>
  </si>
  <si>
    <t>15:13 hrs</t>
  </si>
  <si>
    <t>15:14 hrs</t>
  </si>
  <si>
    <t>15:15 hrs</t>
  </si>
  <si>
    <t>15:16 hrs</t>
  </si>
  <si>
    <t>15:17 hrs</t>
  </si>
  <si>
    <t>15:18 hrs</t>
  </si>
  <si>
    <t>15:19 hrs</t>
  </si>
  <si>
    <t>15:20 hrs</t>
  </si>
  <si>
    <t>15:21 hrs</t>
  </si>
  <si>
    <t>15:22 hrs</t>
  </si>
  <si>
    <t>15:23 hrs</t>
  </si>
  <si>
    <t>15:24 hrs</t>
  </si>
  <si>
    <t>15:25 hrs</t>
  </si>
  <si>
    <t>15:26 hrs</t>
  </si>
  <si>
    <t>15:27 hrs</t>
  </si>
  <si>
    <t>15:28 hrs</t>
  </si>
  <si>
    <t>15:29 hrs</t>
  </si>
  <si>
    <t>15:30 hrs</t>
  </si>
  <si>
    <t>15:31 hrs</t>
  </si>
  <si>
    <t>15:32 hrs</t>
  </si>
  <si>
    <t>15:33 hrs</t>
  </si>
  <si>
    <t>15:34 hrs</t>
  </si>
  <si>
    <t>15:35 hrs</t>
  </si>
  <si>
    <t>15:36 hrs</t>
  </si>
  <si>
    <t>15:37 hrs</t>
  </si>
  <si>
    <t>15:38 hrs</t>
  </si>
  <si>
    <t>15:39 hrs</t>
  </si>
  <si>
    <t>15:40 hrs</t>
  </si>
  <si>
    <t>15:41 hrs</t>
  </si>
  <si>
    <t>15:42 hrs</t>
  </si>
  <si>
    <t>15:43 hrs</t>
  </si>
  <si>
    <t>15:44 hrs</t>
  </si>
  <si>
    <t>15:45 hrs</t>
  </si>
  <si>
    <t>15:46 hrs</t>
  </si>
  <si>
    <t>15:47 hrs</t>
  </si>
  <si>
    <t>15:48 hrs</t>
  </si>
  <si>
    <t>15:49 hrs</t>
  </si>
  <si>
    <t>15:50 hrs</t>
  </si>
  <si>
    <t>15:51 hrs</t>
  </si>
  <si>
    <t>15:52 hrs</t>
  </si>
  <si>
    <t>15:53 hrs</t>
  </si>
  <si>
    <t>15:54 hrs</t>
  </si>
  <si>
    <t>15:55 hrs</t>
  </si>
  <si>
    <t>15:56 hrs</t>
  </si>
  <si>
    <t>15:57 hrs</t>
  </si>
  <si>
    <t>15:58 hrs</t>
  </si>
  <si>
    <t>15:59 hrs</t>
  </si>
  <si>
    <t>16:00 hrs</t>
  </si>
  <si>
    <t>16:01 hrs</t>
  </si>
  <si>
    <t>16:02 hrs</t>
  </si>
  <si>
    <t>16:03 hrs</t>
  </si>
  <si>
    <t>16:04 hrs</t>
  </si>
  <si>
    <t>16:05 hrs</t>
  </si>
  <si>
    <t>16:06 hrs</t>
  </si>
  <si>
    <t>16:07 hrs</t>
  </si>
  <si>
    <t>16:08 hrs</t>
  </si>
  <si>
    <t>16:09 hrs</t>
  </si>
  <si>
    <t>16:10 hrs</t>
  </si>
  <si>
    <t>16:11 hrs</t>
  </si>
  <si>
    <t>16:12 hrs</t>
  </si>
  <si>
    <t>16:13 hrs</t>
  </si>
  <si>
    <t>16:14 hrs</t>
  </si>
  <si>
    <t>16:15 hrs</t>
  </si>
  <si>
    <t>16:16 hrs</t>
  </si>
  <si>
    <t>16:17 hrs</t>
  </si>
  <si>
    <t>16:18 hrs</t>
  </si>
  <si>
    <t>16:19 hrs</t>
  </si>
  <si>
    <t>16:20 hrs</t>
  </si>
  <si>
    <t>16:21 hrs</t>
  </si>
  <si>
    <t>16:22 hrs</t>
  </si>
  <si>
    <t>16:23 hrs</t>
  </si>
  <si>
    <t>16:24 hrs</t>
  </si>
  <si>
    <t>16:25 hrs</t>
  </si>
  <si>
    <t>16:26 hrs</t>
  </si>
  <si>
    <t>16:27 hrs</t>
  </si>
  <si>
    <t>16:28 hrs</t>
  </si>
  <si>
    <t>16:29 hrs</t>
  </si>
  <si>
    <t>16:30 hrs</t>
  </si>
  <si>
    <t>16:31 hrs</t>
  </si>
  <si>
    <t>16:32 hrs</t>
  </si>
  <si>
    <t>16:33 hrs</t>
  </si>
  <si>
    <t>16:34 hrs</t>
  </si>
  <si>
    <t>16:35 hrs</t>
  </si>
  <si>
    <t>16:36 hrs</t>
  </si>
  <si>
    <t>16:37 hrs</t>
  </si>
  <si>
    <t>16:38 hrs</t>
  </si>
  <si>
    <t>16:39 hrs</t>
  </si>
  <si>
    <t>16:40 hrs</t>
  </si>
  <si>
    <t>16:41 hrs</t>
  </si>
  <si>
    <t>16:42 hrs</t>
  </si>
  <si>
    <t>16:43 hrs</t>
  </si>
  <si>
    <t>16:44 hrs</t>
  </si>
  <si>
    <t>16:45 hrs</t>
  </si>
  <si>
    <t>16:46 hrs</t>
  </si>
  <si>
    <t>16:47 hrs</t>
  </si>
  <si>
    <t>16:48 hrs</t>
  </si>
  <si>
    <t>16:49 hrs</t>
  </si>
  <si>
    <t>16:50 hrs</t>
  </si>
  <si>
    <t>16:51 hrs</t>
  </si>
  <si>
    <t>16:52 hrs</t>
  </si>
  <si>
    <t>16:53 hrs</t>
  </si>
  <si>
    <t>16:54 hrs</t>
  </si>
  <si>
    <t>16:55 hrs</t>
  </si>
  <si>
    <t>16:56 hrs</t>
  </si>
  <si>
    <t>16:57 hrs</t>
  </si>
  <si>
    <t>16:58 hrs</t>
  </si>
  <si>
    <t>16:59 hrs</t>
  </si>
  <si>
    <t>17:00 hrs</t>
  </si>
  <si>
    <t>17:01 hrs</t>
  </si>
  <si>
    <t>17:02 hrs</t>
  </si>
  <si>
    <t>17:03 hrs</t>
  </si>
  <si>
    <t>17:04 hrs</t>
  </si>
  <si>
    <t>17:05 hrs</t>
  </si>
  <si>
    <t>17:06 hrs</t>
  </si>
  <si>
    <t>17:07 hrs</t>
  </si>
  <si>
    <t>17:08 hrs</t>
  </si>
  <si>
    <t>17:09 hrs</t>
  </si>
  <si>
    <t>17:10 hrs</t>
  </si>
  <si>
    <t>17:11 hrs</t>
  </si>
  <si>
    <t>17:12 hrs</t>
  </si>
  <si>
    <t>17:13 hrs</t>
  </si>
  <si>
    <t>17:14 hrs</t>
  </si>
  <si>
    <t>17:15 hrs</t>
  </si>
  <si>
    <t>17:16 hrs</t>
  </si>
  <si>
    <t>17:17 hrs</t>
  </si>
  <si>
    <t>17:18 hrs</t>
  </si>
  <si>
    <t>17:19 hrs</t>
  </si>
  <si>
    <t>17:20 hrs</t>
  </si>
  <si>
    <t>17:21 hrs</t>
  </si>
  <si>
    <t>17:22 hrs</t>
  </si>
  <si>
    <t>17:23 hrs</t>
  </si>
  <si>
    <t>17:24 hrs</t>
  </si>
  <si>
    <t>17:25 hrs</t>
  </si>
  <si>
    <t>17:26 hrs</t>
  </si>
  <si>
    <t>17:27 hrs</t>
  </si>
  <si>
    <t>17:28 hrs</t>
  </si>
  <si>
    <t>17:29 hrs</t>
  </si>
  <si>
    <t>17:30 hrs</t>
  </si>
  <si>
    <t>17:31 hrs</t>
  </si>
  <si>
    <t>17:32 hrs</t>
  </si>
  <si>
    <t>17:33 hrs</t>
  </si>
  <si>
    <t>17:34 hrs</t>
  </si>
  <si>
    <t>17:35 hrs</t>
  </si>
  <si>
    <t>17:36 hrs</t>
  </si>
  <si>
    <t>17:37 hrs</t>
  </si>
  <si>
    <t>17:38 hrs</t>
  </si>
  <si>
    <t>17:39 hrs</t>
  </si>
  <si>
    <t>17:40 hrs</t>
  </si>
  <si>
    <t>17:41 hrs</t>
  </si>
  <si>
    <t>17:42 hrs</t>
  </si>
  <si>
    <t>17:43 hrs</t>
  </si>
  <si>
    <t>17:44 hrs</t>
  </si>
  <si>
    <t>17:45 hrs</t>
  </si>
  <si>
    <t>17:46 hrs</t>
  </si>
  <si>
    <t>17:47 hrs</t>
  </si>
  <si>
    <t>17:48 hrs</t>
  </si>
  <si>
    <t>17:49 hrs</t>
  </si>
  <si>
    <t>17:50 hrs</t>
  </si>
  <si>
    <t>17:51 hrs</t>
  </si>
  <si>
    <t>17:52 hrs</t>
  </si>
  <si>
    <t>17:53 hrs</t>
  </si>
  <si>
    <t>17:54 hrs</t>
  </si>
  <si>
    <t>17:55 hrs</t>
  </si>
  <si>
    <t>17:56 hrs</t>
  </si>
  <si>
    <t>17:57 hrs</t>
  </si>
  <si>
    <t>17:58 hrs</t>
  </si>
  <si>
    <t>17:59 hrs</t>
  </si>
  <si>
    <t>18:00 hrs</t>
  </si>
  <si>
    <t>18:01 hrs</t>
  </si>
  <si>
    <t>18:02 hrs</t>
  </si>
  <si>
    <t>18:03 hrs</t>
  </si>
  <si>
    <t>18:04 hrs</t>
  </si>
  <si>
    <t>18:05 hrs</t>
  </si>
  <si>
    <t>18:06 hrs</t>
  </si>
  <si>
    <t>18:07 hrs</t>
  </si>
  <si>
    <t>18:08 hrs</t>
  </si>
  <si>
    <t>18:09 hrs</t>
  </si>
  <si>
    <t>18:10 hrs</t>
  </si>
  <si>
    <t>18:11 hrs</t>
  </si>
  <si>
    <t>18:12 hrs</t>
  </si>
  <si>
    <t>18:13 hrs</t>
  </si>
  <si>
    <t>18:14 hrs</t>
  </si>
  <si>
    <t>18:15 hrs</t>
  </si>
  <si>
    <t>18:16 hrs</t>
  </si>
  <si>
    <t>18:17 hrs</t>
  </si>
  <si>
    <t>18:18 hrs</t>
  </si>
  <si>
    <t>18:19 hrs</t>
  </si>
  <si>
    <t>18:20 hrs</t>
  </si>
  <si>
    <t>18:21 hrs</t>
  </si>
  <si>
    <t>18:22 hrs</t>
  </si>
  <si>
    <t>18:23 hrs</t>
  </si>
  <si>
    <t>18:24 hrs</t>
  </si>
  <si>
    <t>18:25 hrs</t>
  </si>
  <si>
    <t>18:26 hrs</t>
  </si>
  <si>
    <t>18:27 hrs</t>
  </si>
  <si>
    <t>18:28 hrs</t>
  </si>
  <si>
    <t>18:29 hrs</t>
  </si>
  <si>
    <t>18:30 hrs</t>
  </si>
  <si>
    <t>18:31 hrs</t>
  </si>
  <si>
    <t>18:32 hrs</t>
  </si>
  <si>
    <t>18:33 hrs</t>
  </si>
  <si>
    <t>18:34 hrs</t>
  </si>
  <si>
    <t>18:35 hrs</t>
  </si>
  <si>
    <t>18:36 hrs</t>
  </si>
  <si>
    <t>18:37 hrs</t>
  </si>
  <si>
    <t>18:38 hrs</t>
  </si>
  <si>
    <t>18:39 hrs</t>
  </si>
  <si>
    <t>18:40 hrs</t>
  </si>
  <si>
    <t>18:41 hrs</t>
  </si>
  <si>
    <t>18:42 hrs</t>
  </si>
  <si>
    <t>18:43 hrs</t>
  </si>
  <si>
    <t>18:44 hrs</t>
  </si>
  <si>
    <t>18:45 hrs</t>
  </si>
  <si>
    <t>18:46 hrs</t>
  </si>
  <si>
    <t>18:47 hrs</t>
  </si>
  <si>
    <t>18:48 hrs</t>
  </si>
  <si>
    <t>18:49 hrs</t>
  </si>
  <si>
    <t>18:50 hrs</t>
  </si>
  <si>
    <t>18:51 hrs</t>
  </si>
  <si>
    <t>18:52 hrs</t>
  </si>
  <si>
    <t>18:53 hrs</t>
  </si>
  <si>
    <t>18:54 hrs</t>
  </si>
  <si>
    <t>18:55 hrs</t>
  </si>
  <si>
    <t>18:56 hrs</t>
  </si>
  <si>
    <t>18:57 hrs</t>
  </si>
  <si>
    <t>18:58 hrs</t>
  </si>
  <si>
    <t>18:59 hrs</t>
  </si>
  <si>
    <t>19:01 hrs</t>
  </si>
  <si>
    <t>19:02 hrs</t>
  </si>
  <si>
    <t>19:03 hrs</t>
  </si>
  <si>
    <t>19:04 hrs</t>
  </si>
  <si>
    <t>19:05 hrs</t>
  </si>
  <si>
    <t>19:06 hrs</t>
  </si>
  <si>
    <t>19:07 hrs</t>
  </si>
  <si>
    <t>19:08 hrs</t>
  </si>
  <si>
    <t>19:09 hrs</t>
  </si>
  <si>
    <t>19:10 hrs</t>
  </si>
  <si>
    <t>19:11 hrs</t>
  </si>
  <si>
    <t>19:12 hrs</t>
  </si>
  <si>
    <t>19:13 hrs</t>
  </si>
  <si>
    <t>19:14 hrs</t>
  </si>
  <si>
    <t>19:15 hrs</t>
  </si>
  <si>
    <t>19:16 hrs</t>
  </si>
  <si>
    <t>19:17 hrs</t>
  </si>
  <si>
    <t>19:18 hrs</t>
  </si>
  <si>
    <t>19:19 hrs</t>
  </si>
  <si>
    <t>19:20 hrs</t>
  </si>
  <si>
    <t>19:21 hrs</t>
  </si>
  <si>
    <t>19:22 hrs</t>
  </si>
  <si>
    <t>19:23 hrs</t>
  </si>
  <si>
    <t>19:24 hrs</t>
  </si>
  <si>
    <t>19:25 hrs</t>
  </si>
  <si>
    <t>19:26 hrs</t>
  </si>
  <si>
    <t>19:27 hrs</t>
  </si>
  <si>
    <t>19:28 hrs</t>
  </si>
  <si>
    <t>19:29 hrs</t>
  </si>
  <si>
    <t>19:30 hrs</t>
  </si>
  <si>
    <t>19:31 hrs</t>
  </si>
  <si>
    <t>19:32 hrs</t>
  </si>
  <si>
    <t>19:33 hrs</t>
  </si>
  <si>
    <t>19:34 hrs</t>
  </si>
  <si>
    <t>19:35 hrs</t>
  </si>
  <si>
    <t>19:36 hrs</t>
  </si>
  <si>
    <t>19:37 hrs</t>
  </si>
  <si>
    <t>19:38 hrs</t>
  </si>
  <si>
    <t>19:39 hrs</t>
  </si>
  <si>
    <t>19:40 hrs</t>
  </si>
  <si>
    <t>19:41 hrs</t>
  </si>
  <si>
    <t>19:42 hrs</t>
  </si>
  <si>
    <t>19:43 hrs</t>
  </si>
  <si>
    <t>19:44 hrs</t>
  </si>
  <si>
    <t>19:45 hrs</t>
  </si>
  <si>
    <t>19:46 hrs</t>
  </si>
  <si>
    <t>19:47 hrs</t>
  </si>
  <si>
    <t>19:48 hrs</t>
  </si>
  <si>
    <t>19:49 hrs</t>
  </si>
  <si>
    <t>19:50 hrs</t>
  </si>
  <si>
    <t>19:51 hrs</t>
  </si>
  <si>
    <t>19:52 hrs</t>
  </si>
  <si>
    <t>19:53 hrs</t>
  </si>
  <si>
    <t>19:54 hrs</t>
  </si>
  <si>
    <t>19:55 hrs</t>
  </si>
  <si>
    <t>19:56 hrs</t>
  </si>
  <si>
    <t>19:57 hrs</t>
  </si>
  <si>
    <t>19:58 hrs</t>
  </si>
  <si>
    <t>19:59 hrs</t>
  </si>
  <si>
    <t>20:01 hrs</t>
  </si>
  <si>
    <t>20:02 hrs</t>
  </si>
  <si>
    <t>20:03 hrs</t>
  </si>
  <si>
    <t>20:04 hrs</t>
  </si>
  <si>
    <t>20:05 hrs</t>
  </si>
  <si>
    <t>20:06 hrs</t>
  </si>
  <si>
    <t>20:07 hrs</t>
  </si>
  <si>
    <t>20:08 hrs</t>
  </si>
  <si>
    <t>20:09 hrs</t>
  </si>
  <si>
    <t>20:10 hrs</t>
  </si>
  <si>
    <t>20:11 hrs</t>
  </si>
  <si>
    <t>20:12 hrs</t>
  </si>
  <si>
    <t>20:13 hrs</t>
  </si>
  <si>
    <t>20:14 hrs</t>
  </si>
  <si>
    <t>20:15 hrs</t>
  </si>
  <si>
    <t>20:16 hrs</t>
  </si>
  <si>
    <t>20:17 hrs</t>
  </si>
  <si>
    <t>20:18 hrs</t>
  </si>
  <si>
    <t>20:19 hrs</t>
  </si>
  <si>
    <t>20:20 hrs</t>
  </si>
  <si>
    <t>20:21 hrs</t>
  </si>
  <si>
    <t>20:22 hrs</t>
  </si>
  <si>
    <t>20:23 hrs</t>
  </si>
  <si>
    <t>20:24 hrs</t>
  </si>
  <si>
    <t>20:25 hrs</t>
  </si>
  <si>
    <t>20:26 hrs</t>
  </si>
  <si>
    <t>20:27 hrs</t>
  </si>
  <si>
    <t>20:28 hrs</t>
  </si>
  <si>
    <t>20:29 hrs</t>
  </si>
  <si>
    <t>20:30 hrs</t>
  </si>
  <si>
    <t>20:31 hrs</t>
  </si>
  <si>
    <t>20:32 hrs</t>
  </si>
  <si>
    <t>20:33 hrs</t>
  </si>
  <si>
    <t>20:34 hrs</t>
  </si>
  <si>
    <t>20:35 hrs</t>
  </si>
  <si>
    <t>20:36 hrs</t>
  </si>
  <si>
    <t>20:37 hrs</t>
  </si>
  <si>
    <t>20:38 hrs</t>
  </si>
  <si>
    <t>20:39 hrs</t>
  </si>
  <si>
    <t>20:40 hrs</t>
  </si>
  <si>
    <t>20:41 hrs</t>
  </si>
  <si>
    <t>20:42 hrs</t>
  </si>
  <si>
    <t>20:43 hrs</t>
  </si>
  <si>
    <t>20:44 hrs</t>
  </si>
  <si>
    <t>20:45 hrs</t>
  </si>
  <si>
    <t>20:46 hrs</t>
  </si>
  <si>
    <t>20:47 hrs</t>
  </si>
  <si>
    <t>20:48 hrs</t>
  </si>
  <si>
    <t>20:49 hrs</t>
  </si>
  <si>
    <t>20:50 hrs</t>
  </si>
  <si>
    <t>20:51 hrs</t>
  </si>
  <si>
    <t>20:52 hrs</t>
  </si>
  <si>
    <t>20:53 hrs</t>
  </si>
  <si>
    <t>20:54 hrs</t>
  </si>
  <si>
    <t>20:55 hrs</t>
  </si>
  <si>
    <t>20:56 hrs</t>
  </si>
  <si>
    <t>20:57 hrs</t>
  </si>
  <si>
    <t>20:58 hrs</t>
  </si>
  <si>
    <t>20:59 hrs</t>
  </si>
  <si>
    <t>21:01 hrs</t>
  </si>
  <si>
    <t>21:02 hrs</t>
  </si>
  <si>
    <t>21:03 hrs</t>
  </si>
  <si>
    <t>21:04 hrs</t>
  </si>
  <si>
    <t>21:05 hrs</t>
  </si>
  <si>
    <t>21:06 hrs</t>
  </si>
  <si>
    <t>21:07 hrs</t>
  </si>
  <si>
    <t>21:08 hrs</t>
  </si>
  <si>
    <t>21:09 hrs</t>
  </si>
  <si>
    <t>21:10 hrs</t>
  </si>
  <si>
    <t>21:11 hrs</t>
  </si>
  <si>
    <t>21:12 hrs</t>
  </si>
  <si>
    <t>21:13 hrs</t>
  </si>
  <si>
    <t>21:14 hrs</t>
  </si>
  <si>
    <t>21:15 hrs</t>
  </si>
  <si>
    <t>21:16 hrs</t>
  </si>
  <si>
    <t>21:17 hrs</t>
  </si>
  <si>
    <t>21:18 hrs</t>
  </si>
  <si>
    <t>21:19 hrs</t>
  </si>
  <si>
    <t>21:20 hrs</t>
  </si>
  <si>
    <t>21:21 hrs</t>
  </si>
  <si>
    <t>21:22 hrs</t>
  </si>
  <si>
    <t>21:23 hrs</t>
  </si>
  <si>
    <t>21:24 hrs</t>
  </si>
  <si>
    <t>21:25 hrs</t>
  </si>
  <si>
    <t>21:26 hrs</t>
  </si>
  <si>
    <t>21:27 hrs</t>
  </si>
  <si>
    <t>21:28 hrs</t>
  </si>
  <si>
    <t>21:29 hrs</t>
  </si>
  <si>
    <t>21:30 hrs</t>
  </si>
  <si>
    <t>21:31 hrs</t>
  </si>
  <si>
    <t>21:32 hrs</t>
  </si>
  <si>
    <t>21:33 hrs</t>
  </si>
  <si>
    <t>21:34 hrs</t>
  </si>
  <si>
    <t>21:35 hrs</t>
  </si>
  <si>
    <t>21:36 hrs</t>
  </si>
  <si>
    <t>21:37 hrs</t>
  </si>
  <si>
    <t>21:38 hrs</t>
  </si>
  <si>
    <t>21:39 hrs</t>
  </si>
  <si>
    <t>21:40 hrs</t>
  </si>
  <si>
    <t>21:41 hrs</t>
  </si>
  <si>
    <t>21:42 hrs</t>
  </si>
  <si>
    <t>21:43 hrs</t>
  </si>
  <si>
    <t>21:44 hrs</t>
  </si>
  <si>
    <t>21:45 hrs</t>
  </si>
  <si>
    <t>21:46 hrs</t>
  </si>
  <si>
    <t>21:47 hrs</t>
  </si>
  <si>
    <t>21:48 hrs</t>
  </si>
  <si>
    <t>21:49 hrs</t>
  </si>
  <si>
    <t>21:50 hrs</t>
  </si>
  <si>
    <t>21:51 hrs</t>
  </si>
  <si>
    <t>21:52 hrs</t>
  </si>
  <si>
    <t>21:53 hrs</t>
  </si>
  <si>
    <t>21:54 hrs</t>
  </si>
  <si>
    <t>21:55 hrs</t>
  </si>
  <si>
    <t>21:56 hrs</t>
  </si>
  <si>
    <t>21:57 hrs</t>
  </si>
  <si>
    <t>21:58 hrs</t>
  </si>
  <si>
    <t>21:59 hrs</t>
  </si>
  <si>
    <t>22:00 hrs</t>
  </si>
  <si>
    <t>22:01 hrs</t>
  </si>
  <si>
    <t>22:02 hrs</t>
  </si>
  <si>
    <t>22:03 hrs</t>
  </si>
  <si>
    <t>22:04 hrs</t>
  </si>
  <si>
    <t>22:05 hrs</t>
  </si>
  <si>
    <t>22:06 hrs</t>
  </si>
  <si>
    <t>22:07 hrs</t>
  </si>
  <si>
    <t>22:08 hrs</t>
  </si>
  <si>
    <t>22:09 hrs</t>
  </si>
  <si>
    <t>22:10 hrs</t>
  </si>
  <si>
    <t>22:11 hrs</t>
  </si>
  <si>
    <t>22:12 hrs</t>
  </si>
  <si>
    <t>22:13 hrs</t>
  </si>
  <si>
    <t>22:14 hrs</t>
  </si>
  <si>
    <t>22:15 hrs</t>
  </si>
  <si>
    <t>22:16 hrs</t>
  </si>
  <si>
    <t>22:17 hrs</t>
  </si>
  <si>
    <t>22:18 hrs</t>
  </si>
  <si>
    <t>22:19 hrs</t>
  </si>
  <si>
    <t>22:20 hrs</t>
  </si>
  <si>
    <t>22:21 hrs</t>
  </si>
  <si>
    <t>22:22 hrs</t>
  </si>
  <si>
    <t>22:23 hrs</t>
  </si>
  <si>
    <t>22:24 hrs</t>
  </si>
  <si>
    <t>22:25 hrs</t>
  </si>
  <si>
    <t>22:26 hrs</t>
  </si>
  <si>
    <t>22:27 hrs</t>
  </si>
  <si>
    <t>22:28 hrs</t>
  </si>
  <si>
    <t>22:29 hrs</t>
  </si>
  <si>
    <t>22:30 hrs</t>
  </si>
  <si>
    <t>22:31 hrs</t>
  </si>
  <si>
    <t>22:32 hrs</t>
  </si>
  <si>
    <t>22:33 hrs</t>
  </si>
  <si>
    <t>22:34 hrs</t>
  </si>
  <si>
    <t>22:35 hrs</t>
  </si>
  <si>
    <t>22:36 hrs</t>
  </si>
  <si>
    <t>22:37 hrs</t>
  </si>
  <si>
    <t>22:38 hrs</t>
  </si>
  <si>
    <t>22:39 hrs</t>
  </si>
  <si>
    <t>22:40 hrs</t>
  </si>
  <si>
    <t>22:41 hrs</t>
  </si>
  <si>
    <t>22:42 hrs</t>
  </si>
  <si>
    <t>22:43 hrs</t>
  </si>
  <si>
    <t>22:44 hrs</t>
  </si>
  <si>
    <t>22:45 hrs</t>
  </si>
  <si>
    <t>22:46 hrs</t>
  </si>
  <si>
    <t>22:47 hrs</t>
  </si>
  <si>
    <t>22:48 hrs</t>
  </si>
  <si>
    <t>22:49 hrs</t>
  </si>
  <si>
    <t>22:50 hrs</t>
  </si>
  <si>
    <t>22:51 hrs</t>
  </si>
  <si>
    <t>22:52 hrs</t>
  </si>
  <si>
    <t>22:53 hrs</t>
  </si>
  <si>
    <t>22:54 hrs</t>
  </si>
  <si>
    <t>22:55 hrs</t>
  </si>
  <si>
    <t>22:56 hrs</t>
  </si>
  <si>
    <t>22:57 hrs</t>
  </si>
  <si>
    <t>22:58 hrs</t>
  </si>
  <si>
    <t>22:59 hrs</t>
  </si>
  <si>
    <t>23:00 hrs</t>
  </si>
  <si>
    <t>23:01 hrs</t>
  </si>
  <si>
    <t>23:02 hrs</t>
  </si>
  <si>
    <t>23:03 hrs</t>
  </si>
  <si>
    <t>23:04 hrs</t>
  </si>
  <si>
    <t>23:05 hrs</t>
  </si>
  <si>
    <t>23:06 hrs</t>
  </si>
  <si>
    <t>23:07 hrs</t>
  </si>
  <si>
    <t>23:08 hrs</t>
  </si>
  <si>
    <t>23:09 hrs</t>
  </si>
  <si>
    <t>23:10 hrs</t>
  </si>
  <si>
    <t>23:11 hrs</t>
  </si>
  <si>
    <t>23:12 hrs</t>
  </si>
  <si>
    <t>23:13 hrs</t>
  </si>
  <si>
    <t>23:14 hrs</t>
  </si>
  <si>
    <t>23:15 hrs</t>
  </si>
  <si>
    <t>23:16 hrs</t>
  </si>
  <si>
    <t>23:17 hrs</t>
  </si>
  <si>
    <t>23:18 hrs</t>
  </si>
  <si>
    <t>23:19 hrs</t>
  </si>
  <si>
    <t>23:20 hrs</t>
  </si>
  <si>
    <t>23:21 hrs</t>
  </si>
  <si>
    <t>23:22 hrs</t>
  </si>
  <si>
    <t>23:23 hrs</t>
  </si>
  <si>
    <t>23:24 hrs</t>
  </si>
  <si>
    <t>23:25 hrs</t>
  </si>
  <si>
    <t>23:26 hrs</t>
  </si>
  <si>
    <t>23:27 hrs</t>
  </si>
  <si>
    <t>23:28 hrs</t>
  </si>
  <si>
    <t>23:29 hrs</t>
  </si>
  <si>
    <t>23:30 hrs</t>
  </si>
  <si>
    <t>23:31 hrs</t>
  </si>
  <si>
    <t>23:32 hrs</t>
  </si>
  <si>
    <t>23:33 hrs</t>
  </si>
  <si>
    <t>23:34 hrs</t>
  </si>
  <si>
    <t>23:35 hrs</t>
  </si>
  <si>
    <t>23:36 hrs</t>
  </si>
  <si>
    <t>23:37 hrs</t>
  </si>
  <si>
    <t>23:38 hrs</t>
  </si>
  <si>
    <t>23:39 hrs</t>
  </si>
  <si>
    <t>23:40 hrs</t>
  </si>
  <si>
    <t>23:41 hrs</t>
  </si>
  <si>
    <t>23:42 hrs</t>
  </si>
  <si>
    <t>23:43 hrs</t>
  </si>
  <si>
    <t>23:44 hrs</t>
  </si>
  <si>
    <t>23:45 hrs</t>
  </si>
  <si>
    <t>23:46 hrs</t>
  </si>
  <si>
    <t>23:47 hrs</t>
  </si>
  <si>
    <t>23:48 hrs</t>
  </si>
  <si>
    <t>23:49 hrs</t>
  </si>
  <si>
    <t>23:50 hrs</t>
  </si>
  <si>
    <t>23:51 hrs</t>
  </si>
  <si>
    <t>23:52 hrs</t>
  </si>
  <si>
    <t>23:53 hrs</t>
  </si>
  <si>
    <t>23:54 hrs</t>
  </si>
  <si>
    <t>23:55 hrs</t>
  </si>
  <si>
    <t>23:56 hrs</t>
  </si>
  <si>
    <t>23:57 hrs</t>
  </si>
  <si>
    <t>23:58 hrs</t>
  </si>
  <si>
    <t>23:59 hrs</t>
  </si>
  <si>
    <t>MODO PRUEBA: la columna Hora permite seleccionar cualquier minuto del dÃ­a. Cuando termines, ejecuta CambiarHorasModoHorasFijas.ps1 para volver a horas fijas.</t>
  </si>
  <si>
    <t>CASA / GRUPO: ACME Residence 001</t>
  </si>
  <si>
    <t>ACME Residence 001</t>
  </si>
  <si>
    <t>PENDING</t>
  </si>
  <si>
    <t>CASA / GRUPO: ACME Residence 002</t>
  </si>
  <si>
    <t>ACME Residence 002</t>
  </si>
  <si>
    <t>CASA / GRUPO: ACME Residence 003</t>
  </si>
  <si>
    <t>ACME Residence 003</t>
  </si>
  <si>
    <t>CASA / GRUPO: ACME Residence 004</t>
  </si>
  <si>
    <t>ACME Residence 004</t>
  </si>
  <si>
    <t>CASA / GRUPO: ACME Residence 005</t>
  </si>
  <si>
    <t>ACME Residence 005</t>
  </si>
  <si>
    <t>CASA / GRUPO: ACME Residence 006</t>
  </si>
  <si>
    <t>ACME Residence 006</t>
  </si>
  <si>
    <t>CASA / GRUPO: ACME Residence 007</t>
  </si>
  <si>
    <t>ACME Residence 007</t>
  </si>
  <si>
    <t>CASA / GRUPO: ACME Residence 008</t>
  </si>
  <si>
    <t>ACME Residence 008</t>
  </si>
  <si>
    <t>CASA / GRUPO: ACME Residence 009</t>
  </si>
  <si>
    <t>ACME Residence 009</t>
  </si>
  <si>
    <t>CASA / GRUPO: ACME Residence 010</t>
  </si>
  <si>
    <t>ACME Residence 010</t>
  </si>
  <si>
    <t>CASA / GRUPO: ACME Residence 011</t>
  </si>
  <si>
    <t>ACME Residence 011</t>
  </si>
  <si>
    <t>CASA / GRUPO: ACME Residence 012</t>
  </si>
  <si>
    <t>ACME Residence 012</t>
  </si>
  <si>
    <t>CASA / GRUPO: ACME Residence 013</t>
  </si>
  <si>
    <t>ACME Residence 013</t>
  </si>
  <si>
    <t>CASA / GRUPO: ACME Residence 014</t>
  </si>
  <si>
    <t>ACME Residence 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</si>
</sst>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21"/>
      <color rgb="FFFFFFFF"/>
      <name val="Aptos Narrow"/>
      <family val="2"/>
      <scheme val="minor"/>
    </font>
    <font>
      <sz val="11"/>
      <color rgb="FF1F2937"/>
      <name val="Aptos Narrow"/>
      <family val="2"/>
      <scheme val="minor"/>
    </font>
    <font>
      <b/>
      <sz val="11"/>
      <color rgb="FFFFFFFF"/>
      <name val="Aptos Narrow"/>
      <family val="2"/>
      <scheme val="minor"/>
    </font>
    <font>
      <b/>
      <sz val="11"/>
      <color rgb="FF1F2937"/>
      <name val="Aptos Narrow"/>
      <family val="2"/>
      <scheme val="minor"/>
    </font>
    <font>
      <b/>
      <sz val="20"/>
      <color rgb="FFFFFFFF"/>
      <name val="Aptos Narrow"/>
      <family val="2"/>
      <scheme val="minor"/>
    </font>
    <font>
      <strike/>
      <sz val="11"/>
      <color rgb="FF6B7280"/>
      <name val="Aptos Narrow"/>
      <family val="2"/>
      <scheme val="minor"/>
    </font>
    <font>
      <b/>
      <sz val="9"/>
      <color indexed="81"/>
      <name val="Tahoma"/>
      <family val="2"/>
    </font>
    <font>
      <b/>
      <strike/>
      <sz val="11"/>
      <color rgb="FFFFFFFF"/>
      <name val="Aptos Narrow"/>
      <family val="2"/>
      <scheme val="minor"/>
    </font>
    <font>
      <sz val="11"/>
      <color rgb="FFFFFFFF"/>
      <name val="Aptos Narrow"/>
      <family val="2"/>
      <scheme val="minor"/>
    </font>
    <font>
      <strike/>
      <sz val="11"/>
      <color rgb="FFFFFFFF"/>
      <name val="Aptos Narrow"/>
      <family val="2"/>
      <scheme val="minor"/>
    </font>
    <font>
      <b/>
      <sz val="9"/>
      <color indexed="81"/>
      <name val="Tahoma"/>
      <charset val="1"/>
    </font>
  </fonts>
  <fills count="13">
    <fill>
      <patternFill patternType="none"/>
    </fill>
    <fill>
      <patternFill patternType="gray125"/>
    </fill>
    <fill>
      <patternFill patternType="solid">
        <fgColor rgb="FF1F4E65"/>
        <bgColor indexed="64"/>
      </patternFill>
    </fill>
    <fill>
      <patternFill patternType="solid">
        <fgColor rgb="FFDDEBF7"/>
        <bgColor indexed="64"/>
      </patternFill>
    </fill>
    <fill>
      <patternFill patternType="solid">
        <fgColor rgb="FFFFFFFF"/>
        <bgColor indexed="64"/>
      </patternFill>
    </fill>
    <fill>
      <patternFill patternType="solid">
        <fgColor rgb="FFF5FAFA"/>
        <bgColor indexed="64"/>
      </patternFill>
    </fill>
    <fill>
      <patternFill patternType="solid">
        <fgColor rgb="FFF8FAFC"/>
        <bgColor indexed="64"/>
      </patternFill>
    </fill>
    <fill>
      <patternFill patternType="solid">
        <fgColor rgb="FFFEF3C7"/>
        <bgColor indexed="64"/>
      </patternFill>
    </fill>
    <fill>
      <patternFill patternType="solid">
        <fgColor rgb="FFDCFCE7"/>
        <bgColor indexed="64"/>
      </patternFill>
    </fill>
    <fill>
      <patternFill patternType="solid">
        <fgColor rgb="FFFEE2E2"/>
        <bgColor indexed="64"/>
      </patternFill>
    </fill>
    <fill>
      <patternFill patternType="solid">
        <fgColor rgb="FFF3F4F6"/>
        <bgColor indexed="64"/>
      </patternFill>
    </fill>
    <fill>
      <patternFill patternType="solid">
        <fgColor rgb="FFEFF6FF"/>
        <bgColor indexed="64"/>
      </patternFill>
    </fill>
    <fill>
      <patternFill patternType="solid">
        <fgColor theme="2" tint="-0.249977111117893"/>
        <bgColor indexed="64"/>
      </patternFill>
    </fill>
  </fills>
  <borders count="5">
    <border>
      <left/>
      <right/>
      <top/>
      <bottom/>
      <diagonal/>
    </border>
    <border>
      <left style="thin">
        <color rgb="FFD6DCE5"/>
      </left>
      <right style="thin">
        <color rgb="FFD6DCE5"/>
      </right>
      <top style="thin">
        <color rgb="FFD6DCE5"/>
      </top>
      <bottom style="thin">
        <color rgb="FFD6DCE5"/>
      </bottom>
      <diagonal/>
    </border>
    <border>
      <left style="thin">
        <color rgb="FFD6DCE5"/>
      </left>
      <right/>
      <top style="thin">
        <color rgb="FFD6DCE5"/>
      </top>
      <bottom style="thin">
        <color rgb="FFD6DCE5"/>
      </bottom>
      <diagonal/>
    </border>
    <border>
      <left/>
      <right/>
      <top style="thin">
        <color rgb="FFD6DCE5"/>
      </top>
      <bottom style="thin">
        <color rgb="FFD6DCE5"/>
      </bottom>
      <diagonal/>
    </border>
    <border>
      <left/>
      <right style="thin">
        <color rgb="FFD6DCE5"/>
      </right>
      <top style="thin">
        <color rgb="FFD6DCE5"/>
      </top>
      <bottom style="thin">
        <color rgb="FFD6DCE5"/>
      </bottom>
      <diagonal/>
    </border>
  </borders>
  <cellStyleXfs count="1">
    <xf numFmtId="0" fontId="0" fillId="0" borderId="0"/>
  </cellStyleXfs>
  <cellXfs count="47">
    <xf numFmtId="0" fontId="0" fillId="0" borderId="0" xfId="0"/>
    <xf numFmtId="0" fontId="4" fillId="2" borderId="1" xfId="0" applyFont="1" applyFill="1" applyBorder="1"/>
    <xf numFmtId="0" fontId="0" fillId="0" borderId="1" xfId="0" applyBorder="1"/>
    <xf numFmtId="0" fontId="0" fillId="0" borderId="1" xfId="0" applyBorder="1" applyAlignment="1">
      <alignment wrapText="1"/>
    </xf>
    <xf numFmtId="18" fontId="0" fillId="0" borderId="1" xfId="0" applyNumberFormat="1" applyBorder="1"/>
    <xf numFmtId="0" fontId="3" fillId="0" borderId="1" xfId="0" applyFont="1" applyBorder="1"/>
    <xf numFmtId="0" fontId="4" fillId="2" borderId="1" xfId="0" applyFont="1" applyFill="1" applyBorder="1" applyAlignment="1">
      <alignment horizontal="center"/>
    </xf>
    <xf numFmtId="0" fontId="3" fillId="7" borderId="1" xfId="0" applyFont="1" applyFill="1" applyBorder="1"/>
    <xf numFmtId="0" fontId="3" fillId="8" borderId="1" xfId="0" applyFont="1" applyFill="1" applyBorder="1"/>
    <xf numFmtId="0" fontId="3" fillId="9" borderId="1" xfId="0" applyFont="1" applyFill="1" applyBorder="1"/>
    <xf numFmtId="0" fontId="1" fillId="3" borderId="1" xfId="0" applyFont="1" applyFill="1" applyBorder="1"/>
    <xf numFmtId="0" fontId="1" fillId="0" borderId="0" xfId="0" applyFont="1" applyAlignment="1">
      <alignment wrapText="1"/>
    </xf>
    <xf numFmtId="0" fontId="0" fillId="0" borderId="0" xfId="0" applyAlignment="1" applyProtection="1">
      <alignment horizontal="center"/>
      <protection locked="0"/>
    </xf>
    <xf numFmtId="0" fontId="0" fillId="0" borderId="0" xfId="0" applyProtection="1">
      <protection locked="0"/>
    </xf>
    <xf numFmtId="0" fontId="4" fillId="2" borderId="1" xfId="0" applyFont="1" applyFill="1" applyBorder="1" applyAlignment="1" applyProtection="1">
      <alignment horizontal="center" vertical="center"/>
      <protection locked="0"/>
    </xf>
    <xf numFmtId="0" fontId="3" fillId="4" borderId="1" xfId="0" applyFont="1" applyFill="1" applyBorder="1" applyAlignment="1" applyProtection="1">
      <alignment vertical="top"/>
      <protection locked="0"/>
    </xf>
    <xf numFmtId="0" fontId="3" fillId="0" borderId="1" xfId="0" applyFont="1" applyBorder="1" applyAlignment="1" applyProtection="1">
      <alignment vertical="top"/>
      <protection locked="0"/>
    </xf>
    <xf numFmtId="0" fontId="3" fillId="0" borderId="1" xfId="0" applyFont="1" applyBorder="1" applyAlignment="1" applyProtection="1">
      <alignment vertical="top" wrapText="1"/>
      <protection locked="0"/>
    </xf>
    <xf numFmtId="0" fontId="3" fillId="5" borderId="1" xfId="0" applyFont="1" applyFill="1" applyBorder="1" applyAlignment="1" applyProtection="1">
      <alignment vertical="top"/>
      <protection locked="0"/>
    </xf>
    <xf numFmtId="0" fontId="3" fillId="6" borderId="1" xfId="0" applyFont="1" applyFill="1" applyBorder="1" applyAlignment="1" applyProtection="1">
      <alignment vertical="top"/>
      <protection locked="0"/>
    </xf>
    <xf numFmtId="0" fontId="0" fillId="0" borderId="0" xfId="0" applyAlignment="1" applyProtection="1">
      <alignment wrapText="1"/>
      <protection locked="0"/>
    </xf>
    <xf numFmtId="0" fontId="5" fillId="12" borderId="3" xfId="0" applyFont="1" applyFill="1" applyBorder="1" applyAlignment="1" applyProtection="1">
      <alignment horizontal="center" vertical="top"/>
      <protection locked="0"/>
    </xf>
    <xf numFmtId="0" fontId="5" fillId="12" borderId="4" xfId="0" applyFont="1" applyFill="1" applyBorder="1" applyAlignment="1" applyProtection="1">
      <alignment horizontal="center" vertical="top"/>
      <protection locked="0"/>
    </xf>
    <xf numFmtId="0" fontId="4" fillId="2" borderId="0" xfId="0" applyFont="1" applyFill="1" applyAlignment="1" applyProtection="1">
      <alignment horizontal="center" vertical="center"/>
      <protection locked="0"/>
    </xf>
    <xf numFmtId="0" fontId="4" fillId="2" borderId="2" xfId="0" applyFont="1" applyFill="1" applyBorder="1" applyAlignment="1" applyProtection="1">
      <alignment horizontal="center" vertical="top"/>
      <protection locked="0"/>
    </xf>
    <xf numFmtId="18" fontId="3" fillId="0" borderId="1" xfId="0" applyNumberFormat="1" applyFont="1" applyBorder="1" applyAlignment="1" applyProtection="1">
      <alignment vertical="top" wrapText="1"/>
      <protection locked="0"/>
    </xf>
    <xf numFmtId="0" fontId="4" fillId="2" borderId="1" xfId="0" applyFont="1" applyFill="1" applyBorder="1" applyAlignment="1" applyProtection="1">
      <alignment vertical="top"/>
      <protection locked="0"/>
    </xf>
    <xf numFmtId="0" fontId="4" fillId="6" borderId="3" xfId="0" applyFont="1" applyFill="1" applyBorder="1" applyAlignment="1" applyProtection="1">
      <alignment horizontal="center" vertical="top"/>
      <protection locked="0"/>
    </xf>
    <xf numFmtId="0" fontId="9" fillId="6" borderId="3" xfId="0" applyFont="1" applyFill="1" applyBorder="1" applyAlignment="1" applyProtection="1">
      <alignment horizontal="center" vertical="top" wrapText="1"/>
      <protection locked="0"/>
    </xf>
    <xf numFmtId="0" fontId="4" fillId="6" borderId="3" xfId="0" applyFont="1" applyFill="1" applyBorder="1" applyAlignment="1" applyProtection="1">
      <alignment horizontal="center" vertical="top" wrapText="1"/>
      <protection locked="0"/>
    </xf>
    <xf numFmtId="0" fontId="10" fillId="6" borderId="1" xfId="0" applyFont="1" applyFill="1" applyBorder="1" applyAlignment="1" applyProtection="1">
      <alignment horizontal="center" vertical="top"/>
      <protection locked="0"/>
    </xf>
    <xf numFmtId="18" fontId="10" fillId="6" borderId="1" xfId="0" applyNumberFormat="1" applyFont="1" applyFill="1" applyBorder="1" applyAlignment="1" applyProtection="1">
      <alignment horizontal="center" vertical="top"/>
      <protection locked="0"/>
    </xf>
    <xf numFmtId="0" fontId="11" fillId="6" borderId="1" xfId="0" applyFont="1" applyFill="1" applyBorder="1" applyAlignment="1" applyProtection="1">
      <alignment horizontal="center" vertical="top" wrapText="1"/>
      <protection locked="0"/>
    </xf>
    <xf numFmtId="0" fontId="10" fillId="6" borderId="1" xfId="0" applyFont="1" applyFill="1" applyBorder="1" applyAlignment="1" applyProtection="1">
      <alignment horizontal="center" vertical="top" wrapText="1"/>
      <protection locked="0"/>
    </xf>
    <xf numFmtId="0" fontId="4" fillId="6" borderId="1" xfId="0" applyFont="1" applyFill="1" applyBorder="1" applyAlignment="1" applyProtection="1">
      <alignment horizontal="center" vertical="top"/>
      <protection locked="0"/>
    </xf>
    <xf numFmtId="0" fontId="7" fillId="10" borderId="0" xfId="0" applyFont="1" applyFill="1" applyAlignment="1" applyProtection="1">
      <alignment wrapText="1"/>
      <protection locked="0"/>
    </xf>
    <xf numFmtId="0" fontId="0" fillId="11" borderId="0" xfId="0" applyFill="1" applyAlignment="1" applyProtection="1">
      <alignment wrapText="1"/>
      <protection locked="0"/>
    </xf>
    <xf numFmtId="0" fontId="4" fillId="2" borderId="0" xfId="0" applyFont="1" applyFill="1" applyAlignment="1">
      <alignment horizontal="center" vertical="center"/>
    </xf>
    <xf numFmtId="0" fontId="7" fillId="10" borderId="0" xfId="0" applyFont="1" applyFill="1" applyAlignment="1">
      <alignment wrapText="1"/>
    </xf>
    <xf numFmtId="0" fontId="0" fillId="11" borderId="0" xfId="0" applyFill="1" applyAlignment="1">
      <alignment wrapText="1"/>
    </xf>
    <xf numFmtId="0" fontId="2" fillId="2" borderId="0" xfId="0" applyFont="1" applyFill="1" applyAlignment="1" applyProtection="1">
      <alignment horizontal="center"/>
      <protection locked="0"/>
    </xf>
    <xf numFmtId="0" fontId="0" fillId="0" borderId="0" xfId="0" applyAlignment="1" applyProtection="1">
      <alignment horizontal="center"/>
      <protection locked="0"/>
    </xf>
    <xf numFmtId="0" fontId="3" fillId="3" borderId="0" xfId="0" applyFont="1" applyFill="1" applyAlignment="1" applyProtection="1">
      <alignment horizontal="center" wrapText="1"/>
      <protection locked="0"/>
    </xf>
    <xf numFmtId="0" fontId="6" fillId="2" borderId="0" xfId="0" applyFont="1" applyFill="1" applyAlignment="1">
      <alignment horizontal="center"/>
    </xf>
    <xf numFmtId="0" fontId="0" fillId="0" borderId="0" xfId="0" applyAlignment="1">
      <alignment horizontal="center"/>
    </xf>
    <xf numFmtId="0" fontId="6" fillId="2" borderId="0" xfId="0" applyFont="1" applyFill="1"/>
    <xf numFmtId="0" fontId="0" fillId="0" borderId="0" xfId="0"/>
  </cellXfs>
  <cellStyles count="1">
    <cellStyle name="Normal" xfId="0" builtinId="0"/>
  </cellStyles>
  <dxfs count="3">
    <dxf>
      <font>
        <b/>
        <i val="0"/>
        <color rgb="FF991B1B"/>
      </font>
      <fill>
        <patternFill>
          <bgColor rgb="FFFEE2E2"/>
        </patternFill>
      </fill>
    </dxf>
    <dxf>
      <font>
        <b/>
        <i val="0"/>
        <color rgb="FF92400E"/>
      </font>
      <fill>
        <patternFill>
          <bgColor rgb="FFFEF3C7"/>
        </patternFill>
      </fill>
    </dxf>
    <dxf>
      <font>
        <b/>
        <i val="0"/>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trlProps/ctrlProp1.xml><?xml version="1.0" encoding="utf-8"?>
<formControlPr xmlns="http://schemas.microsoft.com/office/spreadsheetml/2009/9/main" objectType="CheckBox" fmlaLink="C6" lockText="1" noThreeD="1"/>
</file>

<file path=xl/ctrlProps/ctrlProp2.xml><?xml version="1.0" encoding="utf-8"?>
<formControlPr xmlns="http://schemas.microsoft.com/office/spreadsheetml/2009/9/main" objectType="CheckBox" fmlaLink="D6" lockText="1" noThreeD="1"/>
</file>

<file path=xl/ctrlProps/ctrlProp3.xml><?xml version="1.0" encoding="utf-8"?>
<formControlPr xmlns="http://schemas.microsoft.com/office/spreadsheetml/2009/9/main" objectType="CheckBox" fmlaLink="E6" lockText="1" noThreeD="1"/>
</file>

<file path=xl/ctrlProps/ctrlProp4.xml><?xml version="1.0" encoding="utf-8"?>
<formControlPr xmlns="http://schemas.microsoft.com/office/spreadsheetml/2009/9/main" objectType="CheckBox" fmlaLink="F6" lockText="1" noThreeD="1"/>
</file>

<file path=xl/ctrlProps/ctrlProp5.xml><?xml version="1.0" encoding="utf-8"?>
<formControlPr xmlns="http://schemas.microsoft.com/office/spreadsheetml/2009/9/main" objectType="CheckBox" fmlaLink="G6" lockText="1" noThreeD="1"/>
</file>

<file path=xl/ctrlProps/ctrlProp6.xml><?xml version="1.0" encoding="utf-8"?>
<formControlPr xmlns="http://schemas.microsoft.com/office/spreadsheetml/2009/9/main" objectType="CheckBox" fmlaLink="H6" lockText="1" noThreeD="1"/>
</file>

<file path=xl/ctrlProps/ctrlProp7.xml><?xml version="1.0" encoding="utf-8"?>
<formControlPr xmlns="http://schemas.microsoft.com/office/spreadsheetml/2009/9/main" objectType="CheckBox" fmlaLink="I6" lockText="1" noThreeD="1"/>
</file>

<file path=xl/ctrlProps/ctrlProp8.xml><?xml version="1.0" encoding="utf-8"?>
<formControlPr xmlns="http://schemas.microsoft.com/office/spreadsheetml/2009/9/main" objectType="CheckBox" checked="Checked" fmlaLink="C7" lockText="1" noThreeD="1"/>
</file>

<file path=xl/ctrlProps/ctrlProp9.xml><?xml version="1.0" encoding="utf-8"?>
<formControlPr xmlns="http://schemas.microsoft.com/office/spreadsheetml/2009/9/main" objectType="CheckBox" fmlaLink="D7" lockText="1" noThreeD="1"/>
</file>

<file path=xl/ctrlProps/ctrlProp10.xml><?xml version="1.0" encoding="utf-8"?>
<formControlPr xmlns="http://schemas.microsoft.com/office/spreadsheetml/2009/9/main" objectType="CheckBox" fmlaLink="E7" lockText="1" noThreeD="1"/>
</file>

<file path=xl/ctrlProps/ctrlProp11.xml><?xml version="1.0" encoding="utf-8"?>
<formControlPr xmlns="http://schemas.microsoft.com/office/spreadsheetml/2009/9/main" objectType="CheckBox" checked="Checked" fmlaLink="F7" lockText="1" noThreeD="1"/>
</file>

<file path=xl/ctrlProps/ctrlProp12.xml><?xml version="1.0" encoding="utf-8"?>
<formControlPr xmlns="http://schemas.microsoft.com/office/spreadsheetml/2009/9/main" objectType="CheckBox" fmlaLink="G7" lockText="1" noThreeD="1"/>
</file>

<file path=xl/ctrlProps/ctrlProp13.xml><?xml version="1.0" encoding="utf-8"?>
<formControlPr xmlns="http://schemas.microsoft.com/office/spreadsheetml/2009/9/main" objectType="CheckBox" fmlaLink="H7" lockText="1" noThreeD="1"/>
</file>

<file path=xl/ctrlProps/ctrlProp14.xml><?xml version="1.0" encoding="utf-8"?>
<formControlPr xmlns="http://schemas.microsoft.com/office/spreadsheetml/2009/9/main" objectType="CheckBox" fmlaLink="I7" lockText="1" noThreeD="1"/>
</file>

<file path=xl/ctrlProps/ctrlProp15.xml><?xml version="1.0" encoding="utf-8"?>
<formControlPr xmlns="http://schemas.microsoft.com/office/spreadsheetml/2009/9/main" objectType="CheckBox" checked="Checked" fmlaLink="C8" lockText="1" noThreeD="1"/>
</file>

<file path=xl/ctrlProps/ctrlProp16.xml><?xml version="1.0" encoding="utf-8"?>
<formControlPr xmlns="http://schemas.microsoft.com/office/spreadsheetml/2009/9/main" objectType="CheckBox" fmlaLink="D8" lockText="1" noThreeD="1"/>
</file>

<file path=xl/ctrlProps/ctrlProp17.xml><?xml version="1.0" encoding="utf-8"?>
<formControlPr xmlns="http://schemas.microsoft.com/office/spreadsheetml/2009/9/main" objectType="CheckBox" fmlaLink="E8" lockText="1" noThreeD="1"/>
</file>

<file path=xl/ctrlProps/ctrlProp18.xml><?xml version="1.0" encoding="utf-8"?>
<formControlPr xmlns="http://schemas.microsoft.com/office/spreadsheetml/2009/9/main" objectType="CheckBox" checked="Checked" fmlaLink="F8" lockText="1" noThreeD="1"/>
</file>

<file path=xl/ctrlProps/ctrlProp19.xml><?xml version="1.0" encoding="utf-8"?>
<formControlPr xmlns="http://schemas.microsoft.com/office/spreadsheetml/2009/9/main" objectType="CheckBox" fmlaLink="G8" lockText="1" noThreeD="1"/>
</file>

<file path=xl/ctrlProps/ctrlProp20.xml><?xml version="1.0" encoding="utf-8"?>
<formControlPr xmlns="http://schemas.microsoft.com/office/spreadsheetml/2009/9/main" objectType="CheckBox" fmlaLink="H8" lockText="1" noThreeD="1"/>
</file>

<file path=xl/ctrlProps/ctrlProp21.xml><?xml version="1.0" encoding="utf-8"?>
<formControlPr xmlns="http://schemas.microsoft.com/office/spreadsheetml/2009/9/main" objectType="CheckBox" fmlaLink="I8" lockText="1" noThreeD="1"/>
</file>

<file path=xl/ctrlProps/ctrlProp22.xml><?xml version="1.0" encoding="utf-8"?>
<formControlPr xmlns="http://schemas.microsoft.com/office/spreadsheetml/2009/9/main" objectType="CheckBox" fmlaLink="C9" lockText="1" noThreeD="1"/>
</file>

<file path=xl/ctrlProps/ctrlProp23.xml><?xml version="1.0" encoding="utf-8"?>
<formControlPr xmlns="http://schemas.microsoft.com/office/spreadsheetml/2009/9/main" objectType="CheckBox" checked="Checked" fmlaLink="D9" lockText="1" noThreeD="1"/>
</file>

<file path=xl/ctrlProps/ctrlProp24.xml><?xml version="1.0" encoding="utf-8"?>
<formControlPr xmlns="http://schemas.microsoft.com/office/spreadsheetml/2009/9/main" objectType="CheckBox" fmlaLink="E9" lockText="1" noThreeD="1"/>
</file>

<file path=xl/ctrlProps/ctrlProp25.xml><?xml version="1.0" encoding="utf-8"?>
<formControlPr xmlns="http://schemas.microsoft.com/office/spreadsheetml/2009/9/main" objectType="CheckBox" checked="Checked" fmlaLink="F9" lockText="1" noThreeD="1"/>
</file>

<file path=xl/ctrlProps/ctrlProp26.xml><?xml version="1.0" encoding="utf-8"?>
<formControlPr xmlns="http://schemas.microsoft.com/office/spreadsheetml/2009/9/main" objectType="CheckBox" fmlaLink="G9" lockText="1" noThreeD="1"/>
</file>

<file path=xl/ctrlProps/ctrlProp27.xml><?xml version="1.0" encoding="utf-8"?>
<formControlPr xmlns="http://schemas.microsoft.com/office/spreadsheetml/2009/9/main" objectType="CheckBox" fmlaLink="H9" lockText="1" noThreeD="1"/>
</file>

<file path=xl/ctrlProps/ctrlProp28.xml><?xml version="1.0" encoding="utf-8"?>
<formControlPr xmlns="http://schemas.microsoft.com/office/spreadsheetml/2009/9/main" objectType="CheckBox" fmlaLink="I9" lockText="1" noThreeD="1"/>
</file>

<file path=xl/ctrlProps/ctrlProp29.xml><?xml version="1.0" encoding="utf-8"?>
<formControlPr xmlns="http://schemas.microsoft.com/office/spreadsheetml/2009/9/main" objectType="CheckBox" fmlaLink="C10" lockText="1" noThreeD="1"/>
</file>

<file path=xl/ctrlProps/ctrlProp30.xml><?xml version="1.0" encoding="utf-8"?>
<formControlPr xmlns="http://schemas.microsoft.com/office/spreadsheetml/2009/9/main" objectType="CheckBox" fmlaLink="D10" lockText="1" noThreeD="1"/>
</file>

<file path=xl/ctrlProps/ctrlProp31.xml><?xml version="1.0" encoding="utf-8"?>
<formControlPr xmlns="http://schemas.microsoft.com/office/spreadsheetml/2009/9/main" objectType="CheckBox" fmlaLink="E10" lockText="1" noThreeD="1"/>
</file>

<file path=xl/ctrlProps/ctrlProp32.xml><?xml version="1.0" encoding="utf-8"?>
<formControlPr xmlns="http://schemas.microsoft.com/office/spreadsheetml/2009/9/main" objectType="CheckBox" fmlaLink="F10" lockText="1" noThreeD="1"/>
</file>

<file path=xl/ctrlProps/ctrlProp33.xml><?xml version="1.0" encoding="utf-8"?>
<formControlPr xmlns="http://schemas.microsoft.com/office/spreadsheetml/2009/9/main" objectType="CheckBox" fmlaLink="G10" lockText="1" noThreeD="1"/>
</file>

<file path=xl/ctrlProps/ctrlProp34.xml><?xml version="1.0" encoding="utf-8"?>
<formControlPr xmlns="http://schemas.microsoft.com/office/spreadsheetml/2009/9/main" objectType="CheckBox" checked="Checked" fmlaLink="H10" lockText="1" noThreeD="1"/>
</file>

<file path=xl/ctrlProps/ctrlProp35.xml><?xml version="1.0" encoding="utf-8"?>
<formControlPr xmlns="http://schemas.microsoft.com/office/spreadsheetml/2009/9/main" objectType="CheckBox" fmlaLink="I10" lockText="1" noThreeD="1"/>
</file>

<file path=xl/ctrlProps/ctrlProp36.xml><?xml version="1.0" encoding="utf-8"?>
<formControlPr xmlns="http://schemas.microsoft.com/office/spreadsheetml/2009/9/main" objectType="CheckBox" fmlaLink="C12" lockText="1" noThreeD="1"/>
</file>

<file path=xl/ctrlProps/ctrlProp37.xml><?xml version="1.0" encoding="utf-8"?>
<formControlPr xmlns="http://schemas.microsoft.com/office/spreadsheetml/2009/9/main" objectType="CheckBox" fmlaLink="D12" lockText="1" noThreeD="1"/>
</file>

<file path=xl/ctrlProps/ctrlProp38.xml><?xml version="1.0" encoding="utf-8"?>
<formControlPr xmlns="http://schemas.microsoft.com/office/spreadsheetml/2009/9/main" objectType="CheckBox" fmlaLink="E12" lockText="1" noThreeD="1"/>
</file>

<file path=xl/ctrlProps/ctrlProp39.xml><?xml version="1.0" encoding="utf-8"?>
<formControlPr xmlns="http://schemas.microsoft.com/office/spreadsheetml/2009/9/main" objectType="CheckBox" fmlaLink="F12" lockText="1" noThreeD="1"/>
</file>

<file path=xl/ctrlProps/ctrlProp40.xml><?xml version="1.0" encoding="utf-8"?>
<formControlPr xmlns="http://schemas.microsoft.com/office/spreadsheetml/2009/9/main" objectType="CheckBox" fmlaLink="G12" lockText="1" noThreeD="1"/>
</file>

<file path=xl/ctrlProps/ctrlProp41.xml><?xml version="1.0" encoding="utf-8"?>
<formControlPr xmlns="http://schemas.microsoft.com/office/spreadsheetml/2009/9/main" objectType="CheckBox" fmlaLink="H12" lockText="1" noThreeD="1"/>
</file>

<file path=xl/ctrlProps/ctrlProp42.xml><?xml version="1.0" encoding="utf-8"?>
<formControlPr xmlns="http://schemas.microsoft.com/office/spreadsheetml/2009/9/main" objectType="CheckBox" fmlaLink="I12" lockText="1" noThreeD="1"/>
</file>

<file path=xl/ctrlProps/ctrlProp43.xml><?xml version="1.0" encoding="utf-8"?>
<formControlPr xmlns="http://schemas.microsoft.com/office/spreadsheetml/2009/9/main" objectType="CheckBox" checked="Checked" fmlaLink="C13" lockText="1" noThreeD="1"/>
</file>

<file path=xl/ctrlProps/ctrlProp44.xml><?xml version="1.0" encoding="utf-8"?>
<formControlPr xmlns="http://schemas.microsoft.com/office/spreadsheetml/2009/9/main" objectType="CheckBox" fmlaLink="D13" lockText="1" noThreeD="1"/>
</file>

<file path=xl/ctrlProps/ctrlProp45.xml><?xml version="1.0" encoding="utf-8"?>
<formControlPr xmlns="http://schemas.microsoft.com/office/spreadsheetml/2009/9/main" objectType="CheckBox" fmlaLink="E13" lockText="1" noThreeD="1"/>
</file>

<file path=xl/ctrlProps/ctrlProp46.xml><?xml version="1.0" encoding="utf-8"?>
<formControlPr xmlns="http://schemas.microsoft.com/office/spreadsheetml/2009/9/main" objectType="CheckBox" checked="Checked" fmlaLink="F13" lockText="1" noThreeD="1"/>
</file>

<file path=xl/ctrlProps/ctrlProp47.xml><?xml version="1.0" encoding="utf-8"?>
<formControlPr xmlns="http://schemas.microsoft.com/office/spreadsheetml/2009/9/main" objectType="CheckBox" fmlaLink="G13" lockText="1" noThreeD="1"/>
</file>

<file path=xl/ctrlProps/ctrlProp48.xml><?xml version="1.0" encoding="utf-8"?>
<formControlPr xmlns="http://schemas.microsoft.com/office/spreadsheetml/2009/9/main" objectType="CheckBox" fmlaLink="H13" lockText="1" noThreeD="1"/>
</file>

<file path=xl/ctrlProps/ctrlProp49.xml><?xml version="1.0" encoding="utf-8"?>
<formControlPr xmlns="http://schemas.microsoft.com/office/spreadsheetml/2009/9/main" objectType="CheckBox" fmlaLink="I13" lockText="1" noThreeD="1"/>
</file>

<file path=xl/ctrlProps/ctrlProp50.xml><?xml version="1.0" encoding="utf-8"?>
<formControlPr xmlns="http://schemas.microsoft.com/office/spreadsheetml/2009/9/main" objectType="CheckBox" checked="Checked" fmlaLink="C14" lockText="1" noThreeD="1"/>
</file>

<file path=xl/ctrlProps/ctrlProp51.xml><?xml version="1.0" encoding="utf-8"?>
<formControlPr xmlns="http://schemas.microsoft.com/office/spreadsheetml/2009/9/main" objectType="CheckBox" fmlaLink="D14" lockText="1" noThreeD="1"/>
</file>

<file path=xl/ctrlProps/ctrlProp52.xml><?xml version="1.0" encoding="utf-8"?>
<formControlPr xmlns="http://schemas.microsoft.com/office/spreadsheetml/2009/9/main" objectType="CheckBox" fmlaLink="E14" lockText="1" noThreeD="1"/>
</file>

<file path=xl/ctrlProps/ctrlProp53.xml><?xml version="1.0" encoding="utf-8"?>
<formControlPr xmlns="http://schemas.microsoft.com/office/spreadsheetml/2009/9/main" objectType="CheckBox" checked="Checked" fmlaLink="F14" lockText="1" noThreeD="1"/>
</file>

<file path=xl/ctrlProps/ctrlProp54.xml><?xml version="1.0" encoding="utf-8"?>
<formControlPr xmlns="http://schemas.microsoft.com/office/spreadsheetml/2009/9/main" objectType="CheckBox" fmlaLink="G14" lockText="1" noThreeD="1"/>
</file>

<file path=xl/ctrlProps/ctrlProp55.xml><?xml version="1.0" encoding="utf-8"?>
<formControlPr xmlns="http://schemas.microsoft.com/office/spreadsheetml/2009/9/main" objectType="CheckBox" fmlaLink="H14" lockText="1" noThreeD="1"/>
</file>

<file path=xl/ctrlProps/ctrlProp56.xml><?xml version="1.0" encoding="utf-8"?>
<formControlPr xmlns="http://schemas.microsoft.com/office/spreadsheetml/2009/9/main" objectType="CheckBox" fmlaLink="I14" lockText="1" noThreeD="1"/>
</file>

<file path=xl/ctrlProps/ctrlProp57.xml><?xml version="1.0" encoding="utf-8"?>
<formControlPr xmlns="http://schemas.microsoft.com/office/spreadsheetml/2009/9/main" objectType="CheckBox" fmlaLink="C15" lockText="1" noThreeD="1"/>
</file>

<file path=xl/ctrlProps/ctrlProp58.xml><?xml version="1.0" encoding="utf-8"?>
<formControlPr xmlns="http://schemas.microsoft.com/office/spreadsheetml/2009/9/main" objectType="CheckBox" checked="Checked" fmlaLink="D15" lockText="1" noThreeD="1"/>
</file>

<file path=xl/ctrlProps/ctrlProp59.xml><?xml version="1.0" encoding="utf-8"?>
<formControlPr xmlns="http://schemas.microsoft.com/office/spreadsheetml/2009/9/main" objectType="CheckBox" fmlaLink="E15" lockText="1" noThreeD="1"/>
</file>

<file path=xl/ctrlProps/ctrlProp60.xml><?xml version="1.0" encoding="utf-8"?>
<formControlPr xmlns="http://schemas.microsoft.com/office/spreadsheetml/2009/9/main" objectType="CheckBox" checked="Checked" fmlaLink="F15" lockText="1" noThreeD="1"/>
</file>

<file path=xl/ctrlProps/ctrlProp61.xml><?xml version="1.0" encoding="utf-8"?>
<formControlPr xmlns="http://schemas.microsoft.com/office/spreadsheetml/2009/9/main" objectType="CheckBox" fmlaLink="G15" lockText="1" noThreeD="1"/>
</file>

<file path=xl/ctrlProps/ctrlProp62.xml><?xml version="1.0" encoding="utf-8"?>
<formControlPr xmlns="http://schemas.microsoft.com/office/spreadsheetml/2009/9/main" objectType="CheckBox" fmlaLink="H15" lockText="1" noThreeD="1"/>
</file>

<file path=xl/ctrlProps/ctrlProp63.xml><?xml version="1.0" encoding="utf-8"?>
<formControlPr xmlns="http://schemas.microsoft.com/office/spreadsheetml/2009/9/main" objectType="CheckBox" fmlaLink="I15" lockText="1" noThreeD="1"/>
</file>

<file path=xl/ctrlProps/ctrlProp64.xml><?xml version="1.0" encoding="utf-8"?>
<formControlPr xmlns="http://schemas.microsoft.com/office/spreadsheetml/2009/9/main" objectType="CheckBox" fmlaLink="C16" lockText="1" noThreeD="1"/>
</file>

<file path=xl/ctrlProps/ctrlProp65.xml><?xml version="1.0" encoding="utf-8"?>
<formControlPr xmlns="http://schemas.microsoft.com/office/spreadsheetml/2009/9/main" objectType="CheckBox" fmlaLink="D16" lockText="1" noThreeD="1"/>
</file>

<file path=xl/ctrlProps/ctrlProp66.xml><?xml version="1.0" encoding="utf-8"?>
<formControlPr xmlns="http://schemas.microsoft.com/office/spreadsheetml/2009/9/main" objectType="CheckBox" fmlaLink="E16" lockText="1" noThreeD="1"/>
</file>

<file path=xl/ctrlProps/ctrlProp67.xml><?xml version="1.0" encoding="utf-8"?>
<formControlPr xmlns="http://schemas.microsoft.com/office/spreadsheetml/2009/9/main" objectType="CheckBox" fmlaLink="F16" lockText="1" noThreeD="1"/>
</file>

<file path=xl/ctrlProps/ctrlProp68.xml><?xml version="1.0" encoding="utf-8"?>
<formControlPr xmlns="http://schemas.microsoft.com/office/spreadsheetml/2009/9/main" objectType="CheckBox" fmlaLink="G16" lockText="1" noThreeD="1"/>
</file>

<file path=xl/ctrlProps/ctrlProp69.xml><?xml version="1.0" encoding="utf-8"?>
<formControlPr xmlns="http://schemas.microsoft.com/office/spreadsheetml/2009/9/main" objectType="CheckBox" checked="Checked" fmlaLink="H16" lockText="1" noThreeD="1"/>
</file>

<file path=xl/ctrlProps/ctrlProp70.xml><?xml version="1.0" encoding="utf-8"?>
<formControlPr xmlns="http://schemas.microsoft.com/office/spreadsheetml/2009/9/main" objectType="CheckBox" fmlaLink="I16" lockText="1" noThreeD="1"/>
</file>

<file path=xl/ctrlProps/ctrlProp71.xml><?xml version="1.0" encoding="utf-8"?>
<formControlPr xmlns="http://schemas.microsoft.com/office/spreadsheetml/2009/9/main" objectType="CheckBox" fmlaLink="C18" lockText="1" noThreeD="1"/>
</file>

<file path=xl/ctrlProps/ctrlProp72.xml><?xml version="1.0" encoding="utf-8"?>
<formControlPr xmlns="http://schemas.microsoft.com/office/spreadsheetml/2009/9/main" objectType="CheckBox" fmlaLink="D18" lockText="1" noThreeD="1"/>
</file>

<file path=xl/ctrlProps/ctrlProp73.xml><?xml version="1.0" encoding="utf-8"?>
<formControlPr xmlns="http://schemas.microsoft.com/office/spreadsheetml/2009/9/main" objectType="CheckBox" fmlaLink="E18" lockText="1" noThreeD="1"/>
</file>

<file path=xl/ctrlProps/ctrlProp74.xml><?xml version="1.0" encoding="utf-8"?>
<formControlPr xmlns="http://schemas.microsoft.com/office/spreadsheetml/2009/9/main" objectType="CheckBox" fmlaLink="F18" lockText="1" noThreeD="1"/>
</file>

<file path=xl/ctrlProps/ctrlProp75.xml><?xml version="1.0" encoding="utf-8"?>
<formControlPr xmlns="http://schemas.microsoft.com/office/spreadsheetml/2009/9/main" objectType="CheckBox" fmlaLink="G18" lockText="1" noThreeD="1"/>
</file>

<file path=xl/ctrlProps/ctrlProp76.xml><?xml version="1.0" encoding="utf-8"?>
<formControlPr xmlns="http://schemas.microsoft.com/office/spreadsheetml/2009/9/main" objectType="CheckBox" fmlaLink="H18" lockText="1" noThreeD="1"/>
</file>

<file path=xl/ctrlProps/ctrlProp77.xml><?xml version="1.0" encoding="utf-8"?>
<formControlPr xmlns="http://schemas.microsoft.com/office/spreadsheetml/2009/9/main" objectType="CheckBox" fmlaLink="I18" lockText="1" noThreeD="1"/>
</file>

<file path=xl/ctrlProps/ctrlProp78.xml><?xml version="1.0" encoding="utf-8"?>
<formControlPr xmlns="http://schemas.microsoft.com/office/spreadsheetml/2009/9/main" objectType="CheckBox" checked="Checked" fmlaLink="C19" lockText="1" noThreeD="1"/>
</file>

<file path=xl/ctrlProps/ctrlProp79.xml><?xml version="1.0" encoding="utf-8"?>
<formControlPr xmlns="http://schemas.microsoft.com/office/spreadsheetml/2009/9/main" objectType="CheckBox" fmlaLink="D19" lockText="1" noThreeD="1"/>
</file>

<file path=xl/ctrlProps/ctrlProp80.xml><?xml version="1.0" encoding="utf-8"?>
<formControlPr xmlns="http://schemas.microsoft.com/office/spreadsheetml/2009/9/main" objectType="CheckBox" fmlaLink="E19" lockText="1" noThreeD="1"/>
</file>

<file path=xl/ctrlProps/ctrlProp81.xml><?xml version="1.0" encoding="utf-8"?>
<formControlPr xmlns="http://schemas.microsoft.com/office/spreadsheetml/2009/9/main" objectType="CheckBox" checked="Checked" fmlaLink="F19" lockText="1" noThreeD="1"/>
</file>

<file path=xl/ctrlProps/ctrlProp82.xml><?xml version="1.0" encoding="utf-8"?>
<formControlPr xmlns="http://schemas.microsoft.com/office/spreadsheetml/2009/9/main" objectType="CheckBox" fmlaLink="G19" lockText="1" noThreeD="1"/>
</file>

<file path=xl/ctrlProps/ctrlProp83.xml><?xml version="1.0" encoding="utf-8"?>
<formControlPr xmlns="http://schemas.microsoft.com/office/spreadsheetml/2009/9/main" objectType="CheckBox" fmlaLink="H19" lockText="1" noThreeD="1"/>
</file>

<file path=xl/ctrlProps/ctrlProp84.xml><?xml version="1.0" encoding="utf-8"?>
<formControlPr xmlns="http://schemas.microsoft.com/office/spreadsheetml/2009/9/main" objectType="CheckBox" fmlaLink="I19" lockText="1" noThreeD="1"/>
</file>

<file path=xl/ctrlProps/ctrlProp85.xml><?xml version="1.0" encoding="utf-8"?>
<formControlPr xmlns="http://schemas.microsoft.com/office/spreadsheetml/2009/9/main" objectType="CheckBox" checked="Checked" fmlaLink="C20" lockText="1" noThreeD="1"/>
</file>

<file path=xl/ctrlProps/ctrlProp86.xml><?xml version="1.0" encoding="utf-8"?>
<formControlPr xmlns="http://schemas.microsoft.com/office/spreadsheetml/2009/9/main" objectType="CheckBox" fmlaLink="D20" lockText="1" noThreeD="1"/>
</file>

<file path=xl/ctrlProps/ctrlProp87.xml><?xml version="1.0" encoding="utf-8"?>
<formControlPr xmlns="http://schemas.microsoft.com/office/spreadsheetml/2009/9/main" objectType="CheckBox" fmlaLink="E20" lockText="1" noThreeD="1"/>
</file>

<file path=xl/ctrlProps/ctrlProp88.xml><?xml version="1.0" encoding="utf-8"?>
<formControlPr xmlns="http://schemas.microsoft.com/office/spreadsheetml/2009/9/main" objectType="CheckBox" checked="Checked" fmlaLink="F20" lockText="1" noThreeD="1"/>
</file>

<file path=xl/ctrlProps/ctrlProp89.xml><?xml version="1.0" encoding="utf-8"?>
<formControlPr xmlns="http://schemas.microsoft.com/office/spreadsheetml/2009/9/main" objectType="CheckBox" fmlaLink="G20" lockText="1" noThreeD="1"/>
</file>

<file path=xl/ctrlProps/ctrlProp90.xml><?xml version="1.0" encoding="utf-8"?>
<formControlPr xmlns="http://schemas.microsoft.com/office/spreadsheetml/2009/9/main" objectType="CheckBox" fmlaLink="H20" lockText="1" noThreeD="1"/>
</file>

<file path=xl/ctrlProps/ctrlProp91.xml><?xml version="1.0" encoding="utf-8"?>
<formControlPr xmlns="http://schemas.microsoft.com/office/spreadsheetml/2009/9/main" objectType="CheckBox" fmlaLink="I20" lockText="1" noThreeD="1"/>
</file>

<file path=xl/ctrlProps/ctrlProp92.xml><?xml version="1.0" encoding="utf-8"?>
<formControlPr xmlns="http://schemas.microsoft.com/office/spreadsheetml/2009/9/main" objectType="CheckBox" fmlaLink="C21" lockText="1" noThreeD="1"/>
</file>

<file path=xl/ctrlProps/ctrlProp93.xml><?xml version="1.0" encoding="utf-8"?>
<formControlPr xmlns="http://schemas.microsoft.com/office/spreadsheetml/2009/9/main" objectType="CheckBox" checked="Checked" fmlaLink="D21" lockText="1" noThreeD="1"/>
</file>

<file path=xl/ctrlProps/ctrlProp94.xml><?xml version="1.0" encoding="utf-8"?>
<formControlPr xmlns="http://schemas.microsoft.com/office/spreadsheetml/2009/9/main" objectType="CheckBox" fmlaLink="E21" lockText="1" noThreeD="1"/>
</file>

<file path=xl/ctrlProps/ctrlProp95.xml><?xml version="1.0" encoding="utf-8"?>
<formControlPr xmlns="http://schemas.microsoft.com/office/spreadsheetml/2009/9/main" objectType="CheckBox" checked="Checked" fmlaLink="F21" lockText="1" noThreeD="1"/>
</file>

<file path=xl/ctrlProps/ctrlProp96.xml><?xml version="1.0" encoding="utf-8"?>
<formControlPr xmlns="http://schemas.microsoft.com/office/spreadsheetml/2009/9/main" objectType="CheckBox" fmlaLink="G21" lockText="1" noThreeD="1"/>
</file>

<file path=xl/ctrlProps/ctrlProp97.xml><?xml version="1.0" encoding="utf-8"?>
<formControlPr xmlns="http://schemas.microsoft.com/office/spreadsheetml/2009/9/main" objectType="CheckBox" fmlaLink="H21" lockText="1" noThreeD="1"/>
</file>

<file path=xl/ctrlProps/ctrlProp98.xml><?xml version="1.0" encoding="utf-8"?>
<formControlPr xmlns="http://schemas.microsoft.com/office/spreadsheetml/2009/9/main" objectType="CheckBox" fmlaLink="I21" lockText="1" noThreeD="1"/>
</file>

<file path=xl/ctrlProps/ctrlProp99.xml><?xml version="1.0" encoding="utf-8"?>
<formControlPr xmlns="http://schemas.microsoft.com/office/spreadsheetml/2009/9/main" objectType="CheckBox" fmlaLink="C22" lockText="1" noThreeD="1"/>
</file>

<file path=xl/ctrlProps/ctrlProp100.xml><?xml version="1.0" encoding="utf-8"?>
<formControlPr xmlns="http://schemas.microsoft.com/office/spreadsheetml/2009/9/main" objectType="CheckBox" fmlaLink="D22" lockText="1" noThreeD="1"/>
</file>

<file path=xl/ctrlProps/ctrlProp101.xml><?xml version="1.0" encoding="utf-8"?>
<formControlPr xmlns="http://schemas.microsoft.com/office/spreadsheetml/2009/9/main" objectType="CheckBox" fmlaLink="E22" lockText="1" noThreeD="1"/>
</file>

<file path=xl/ctrlProps/ctrlProp102.xml><?xml version="1.0" encoding="utf-8"?>
<formControlPr xmlns="http://schemas.microsoft.com/office/spreadsheetml/2009/9/main" objectType="CheckBox" fmlaLink="F22" lockText="1" noThreeD="1"/>
</file>

<file path=xl/ctrlProps/ctrlProp103.xml><?xml version="1.0" encoding="utf-8"?>
<formControlPr xmlns="http://schemas.microsoft.com/office/spreadsheetml/2009/9/main" objectType="CheckBox" fmlaLink="G22" lockText="1" noThreeD="1"/>
</file>

<file path=xl/ctrlProps/ctrlProp104.xml><?xml version="1.0" encoding="utf-8"?>
<formControlPr xmlns="http://schemas.microsoft.com/office/spreadsheetml/2009/9/main" objectType="CheckBox" checked="Checked" fmlaLink="H22" lockText="1" noThreeD="1"/>
</file>

<file path=xl/ctrlProps/ctrlProp105.xml><?xml version="1.0" encoding="utf-8"?>
<formControlPr xmlns="http://schemas.microsoft.com/office/spreadsheetml/2009/9/main" objectType="CheckBox" fmlaLink="I22" lockText="1" noThreeD="1"/>
</file>

<file path=xl/ctrlProps/ctrlProp106.xml><?xml version="1.0" encoding="utf-8"?>
<formControlPr xmlns="http://schemas.microsoft.com/office/spreadsheetml/2009/9/main" objectType="CheckBox" fmlaLink="C24" lockText="1" noThreeD="1"/>
</file>

<file path=xl/ctrlProps/ctrlProp107.xml><?xml version="1.0" encoding="utf-8"?>
<formControlPr xmlns="http://schemas.microsoft.com/office/spreadsheetml/2009/9/main" objectType="CheckBox" fmlaLink="D24" lockText="1" noThreeD="1"/>
</file>

<file path=xl/ctrlProps/ctrlProp108.xml><?xml version="1.0" encoding="utf-8"?>
<formControlPr xmlns="http://schemas.microsoft.com/office/spreadsheetml/2009/9/main" objectType="CheckBox" fmlaLink="E24" lockText="1" noThreeD="1"/>
</file>

<file path=xl/ctrlProps/ctrlProp109.xml><?xml version="1.0" encoding="utf-8"?>
<formControlPr xmlns="http://schemas.microsoft.com/office/spreadsheetml/2009/9/main" objectType="CheckBox" fmlaLink="F24" lockText="1" noThreeD="1"/>
</file>

<file path=xl/ctrlProps/ctrlProp110.xml><?xml version="1.0" encoding="utf-8"?>
<formControlPr xmlns="http://schemas.microsoft.com/office/spreadsheetml/2009/9/main" objectType="CheckBox" fmlaLink="G24" lockText="1" noThreeD="1"/>
</file>

<file path=xl/ctrlProps/ctrlProp111.xml><?xml version="1.0" encoding="utf-8"?>
<formControlPr xmlns="http://schemas.microsoft.com/office/spreadsheetml/2009/9/main" objectType="CheckBox" fmlaLink="H24" lockText="1" noThreeD="1"/>
</file>

<file path=xl/ctrlProps/ctrlProp112.xml><?xml version="1.0" encoding="utf-8"?>
<formControlPr xmlns="http://schemas.microsoft.com/office/spreadsheetml/2009/9/main" objectType="CheckBox" fmlaLink="I24" lockText="1" noThreeD="1"/>
</file>

<file path=xl/ctrlProps/ctrlProp113.xml><?xml version="1.0" encoding="utf-8"?>
<formControlPr xmlns="http://schemas.microsoft.com/office/spreadsheetml/2009/9/main" objectType="CheckBox" checked="Checked" fmlaLink="C25" lockText="1" noThreeD="1"/>
</file>

<file path=xl/ctrlProps/ctrlProp114.xml><?xml version="1.0" encoding="utf-8"?>
<formControlPr xmlns="http://schemas.microsoft.com/office/spreadsheetml/2009/9/main" objectType="CheckBox" fmlaLink="D25" lockText="1" noThreeD="1"/>
</file>

<file path=xl/ctrlProps/ctrlProp115.xml><?xml version="1.0" encoding="utf-8"?>
<formControlPr xmlns="http://schemas.microsoft.com/office/spreadsheetml/2009/9/main" objectType="CheckBox" fmlaLink="E25" lockText="1" noThreeD="1"/>
</file>

<file path=xl/ctrlProps/ctrlProp116.xml><?xml version="1.0" encoding="utf-8"?>
<formControlPr xmlns="http://schemas.microsoft.com/office/spreadsheetml/2009/9/main" objectType="CheckBox" checked="Checked" fmlaLink="F25" lockText="1" noThreeD="1"/>
</file>

<file path=xl/ctrlProps/ctrlProp117.xml><?xml version="1.0" encoding="utf-8"?>
<formControlPr xmlns="http://schemas.microsoft.com/office/spreadsheetml/2009/9/main" objectType="CheckBox" fmlaLink="G25" lockText="1" noThreeD="1"/>
</file>

<file path=xl/ctrlProps/ctrlProp118.xml><?xml version="1.0" encoding="utf-8"?>
<formControlPr xmlns="http://schemas.microsoft.com/office/spreadsheetml/2009/9/main" objectType="CheckBox" fmlaLink="H25" lockText="1" noThreeD="1"/>
</file>

<file path=xl/ctrlProps/ctrlProp119.xml><?xml version="1.0" encoding="utf-8"?>
<formControlPr xmlns="http://schemas.microsoft.com/office/spreadsheetml/2009/9/main" objectType="CheckBox" fmlaLink="I25" lockText="1" noThreeD="1"/>
</file>

<file path=xl/ctrlProps/ctrlProp120.xml><?xml version="1.0" encoding="utf-8"?>
<formControlPr xmlns="http://schemas.microsoft.com/office/spreadsheetml/2009/9/main" objectType="CheckBox" checked="Checked" fmlaLink="C26" lockText="1" noThreeD="1"/>
</file>

<file path=xl/ctrlProps/ctrlProp121.xml><?xml version="1.0" encoding="utf-8"?>
<formControlPr xmlns="http://schemas.microsoft.com/office/spreadsheetml/2009/9/main" objectType="CheckBox" fmlaLink="D26" lockText="1" noThreeD="1"/>
</file>

<file path=xl/ctrlProps/ctrlProp122.xml><?xml version="1.0" encoding="utf-8"?>
<formControlPr xmlns="http://schemas.microsoft.com/office/spreadsheetml/2009/9/main" objectType="CheckBox" fmlaLink="E26" lockText="1" noThreeD="1"/>
</file>

<file path=xl/ctrlProps/ctrlProp123.xml><?xml version="1.0" encoding="utf-8"?>
<formControlPr xmlns="http://schemas.microsoft.com/office/spreadsheetml/2009/9/main" objectType="CheckBox" checked="Checked" fmlaLink="F26" lockText="1" noThreeD="1"/>
</file>

<file path=xl/ctrlProps/ctrlProp124.xml><?xml version="1.0" encoding="utf-8"?>
<formControlPr xmlns="http://schemas.microsoft.com/office/spreadsheetml/2009/9/main" objectType="CheckBox" fmlaLink="G26" lockText="1" noThreeD="1"/>
</file>

<file path=xl/ctrlProps/ctrlProp125.xml><?xml version="1.0" encoding="utf-8"?>
<formControlPr xmlns="http://schemas.microsoft.com/office/spreadsheetml/2009/9/main" objectType="CheckBox" fmlaLink="H26" lockText="1" noThreeD="1"/>
</file>

<file path=xl/ctrlProps/ctrlProp126.xml><?xml version="1.0" encoding="utf-8"?>
<formControlPr xmlns="http://schemas.microsoft.com/office/spreadsheetml/2009/9/main" objectType="CheckBox" fmlaLink="I26" lockText="1" noThreeD="1"/>
</file>

<file path=xl/ctrlProps/ctrlProp127.xml><?xml version="1.0" encoding="utf-8"?>
<formControlPr xmlns="http://schemas.microsoft.com/office/spreadsheetml/2009/9/main" objectType="CheckBox" fmlaLink="C27" lockText="1" noThreeD="1"/>
</file>

<file path=xl/ctrlProps/ctrlProp128.xml><?xml version="1.0" encoding="utf-8"?>
<formControlPr xmlns="http://schemas.microsoft.com/office/spreadsheetml/2009/9/main" objectType="CheckBox" checked="Checked" fmlaLink="D27" lockText="1" noThreeD="1"/>
</file>

<file path=xl/ctrlProps/ctrlProp129.xml><?xml version="1.0" encoding="utf-8"?>
<formControlPr xmlns="http://schemas.microsoft.com/office/spreadsheetml/2009/9/main" objectType="CheckBox" fmlaLink="E27" lockText="1" noThreeD="1"/>
</file>

<file path=xl/ctrlProps/ctrlProp130.xml><?xml version="1.0" encoding="utf-8"?>
<formControlPr xmlns="http://schemas.microsoft.com/office/spreadsheetml/2009/9/main" objectType="CheckBox" checked="Checked" fmlaLink="F27" lockText="1" noThreeD="1"/>
</file>

<file path=xl/ctrlProps/ctrlProp131.xml><?xml version="1.0" encoding="utf-8"?>
<formControlPr xmlns="http://schemas.microsoft.com/office/spreadsheetml/2009/9/main" objectType="CheckBox" fmlaLink="G27" lockText="1" noThreeD="1"/>
</file>

<file path=xl/ctrlProps/ctrlProp132.xml><?xml version="1.0" encoding="utf-8"?>
<formControlPr xmlns="http://schemas.microsoft.com/office/spreadsheetml/2009/9/main" objectType="CheckBox" fmlaLink="H27" lockText="1" noThreeD="1"/>
</file>

<file path=xl/ctrlProps/ctrlProp133.xml><?xml version="1.0" encoding="utf-8"?>
<formControlPr xmlns="http://schemas.microsoft.com/office/spreadsheetml/2009/9/main" objectType="CheckBox" fmlaLink="I27" lockText="1" noThreeD="1"/>
</file>

<file path=xl/ctrlProps/ctrlProp134.xml><?xml version="1.0" encoding="utf-8"?>
<formControlPr xmlns="http://schemas.microsoft.com/office/spreadsheetml/2009/9/main" objectType="CheckBox" fmlaLink="C28" lockText="1" noThreeD="1"/>
</file>

<file path=xl/ctrlProps/ctrlProp135.xml><?xml version="1.0" encoding="utf-8"?>
<formControlPr xmlns="http://schemas.microsoft.com/office/spreadsheetml/2009/9/main" objectType="CheckBox" fmlaLink="D28" lockText="1" noThreeD="1"/>
</file>

<file path=xl/ctrlProps/ctrlProp136.xml><?xml version="1.0" encoding="utf-8"?>
<formControlPr xmlns="http://schemas.microsoft.com/office/spreadsheetml/2009/9/main" objectType="CheckBox" fmlaLink="E28" lockText="1" noThreeD="1"/>
</file>

<file path=xl/ctrlProps/ctrlProp137.xml><?xml version="1.0" encoding="utf-8"?>
<formControlPr xmlns="http://schemas.microsoft.com/office/spreadsheetml/2009/9/main" objectType="CheckBox" fmlaLink="F28" lockText="1" noThreeD="1"/>
</file>

<file path=xl/ctrlProps/ctrlProp138.xml><?xml version="1.0" encoding="utf-8"?>
<formControlPr xmlns="http://schemas.microsoft.com/office/spreadsheetml/2009/9/main" objectType="CheckBox" fmlaLink="G28" lockText="1" noThreeD="1"/>
</file>

<file path=xl/ctrlProps/ctrlProp139.xml><?xml version="1.0" encoding="utf-8"?>
<formControlPr xmlns="http://schemas.microsoft.com/office/spreadsheetml/2009/9/main" objectType="CheckBox" checked="Checked" fmlaLink="H28" lockText="1" noThreeD="1"/>
</file>

<file path=xl/ctrlProps/ctrlProp140.xml><?xml version="1.0" encoding="utf-8"?>
<formControlPr xmlns="http://schemas.microsoft.com/office/spreadsheetml/2009/9/main" objectType="CheckBox" fmlaLink="I28" lockText="1" noThreeD="1"/>
</file>

<file path=xl/ctrlProps/ctrlProp141.xml><?xml version="1.0" encoding="utf-8"?>
<formControlPr xmlns="http://schemas.microsoft.com/office/spreadsheetml/2009/9/main" objectType="CheckBox" fmlaLink="C30" lockText="1" noThreeD="1"/>
</file>

<file path=xl/ctrlProps/ctrlProp142.xml><?xml version="1.0" encoding="utf-8"?>
<formControlPr xmlns="http://schemas.microsoft.com/office/spreadsheetml/2009/9/main" objectType="CheckBox" fmlaLink="D30" lockText="1" noThreeD="1"/>
</file>

<file path=xl/ctrlProps/ctrlProp143.xml><?xml version="1.0" encoding="utf-8"?>
<formControlPr xmlns="http://schemas.microsoft.com/office/spreadsheetml/2009/9/main" objectType="CheckBox" fmlaLink="E30" lockText="1" noThreeD="1"/>
</file>

<file path=xl/ctrlProps/ctrlProp144.xml><?xml version="1.0" encoding="utf-8"?>
<formControlPr xmlns="http://schemas.microsoft.com/office/spreadsheetml/2009/9/main" objectType="CheckBox" fmlaLink="F30" lockText="1" noThreeD="1"/>
</file>

<file path=xl/ctrlProps/ctrlProp145.xml><?xml version="1.0" encoding="utf-8"?>
<formControlPr xmlns="http://schemas.microsoft.com/office/spreadsheetml/2009/9/main" objectType="CheckBox" fmlaLink="G30" lockText="1" noThreeD="1"/>
</file>

<file path=xl/ctrlProps/ctrlProp146.xml><?xml version="1.0" encoding="utf-8"?>
<formControlPr xmlns="http://schemas.microsoft.com/office/spreadsheetml/2009/9/main" objectType="CheckBox" fmlaLink="H30" lockText="1" noThreeD="1"/>
</file>

<file path=xl/ctrlProps/ctrlProp147.xml><?xml version="1.0" encoding="utf-8"?>
<formControlPr xmlns="http://schemas.microsoft.com/office/spreadsheetml/2009/9/main" objectType="CheckBox" fmlaLink="I30" lockText="1" noThreeD="1"/>
</file>

<file path=xl/ctrlProps/ctrlProp148.xml><?xml version="1.0" encoding="utf-8"?>
<formControlPr xmlns="http://schemas.microsoft.com/office/spreadsheetml/2009/9/main" objectType="CheckBox" checked="Checked" fmlaLink="C31" lockText="1" noThreeD="1"/>
</file>

<file path=xl/ctrlProps/ctrlProp149.xml><?xml version="1.0" encoding="utf-8"?>
<formControlPr xmlns="http://schemas.microsoft.com/office/spreadsheetml/2009/9/main" objectType="CheckBox" fmlaLink="D31" lockText="1" noThreeD="1"/>
</file>

<file path=xl/ctrlProps/ctrlProp150.xml><?xml version="1.0" encoding="utf-8"?>
<formControlPr xmlns="http://schemas.microsoft.com/office/spreadsheetml/2009/9/main" objectType="CheckBox" fmlaLink="E31" lockText="1" noThreeD="1"/>
</file>

<file path=xl/ctrlProps/ctrlProp151.xml><?xml version="1.0" encoding="utf-8"?>
<formControlPr xmlns="http://schemas.microsoft.com/office/spreadsheetml/2009/9/main" objectType="CheckBox" checked="Checked" fmlaLink="F31" lockText="1" noThreeD="1"/>
</file>

<file path=xl/ctrlProps/ctrlProp152.xml><?xml version="1.0" encoding="utf-8"?>
<formControlPr xmlns="http://schemas.microsoft.com/office/spreadsheetml/2009/9/main" objectType="CheckBox" fmlaLink="G31" lockText="1" noThreeD="1"/>
</file>

<file path=xl/ctrlProps/ctrlProp153.xml><?xml version="1.0" encoding="utf-8"?>
<formControlPr xmlns="http://schemas.microsoft.com/office/spreadsheetml/2009/9/main" objectType="CheckBox" fmlaLink="H31" lockText="1" noThreeD="1"/>
</file>

<file path=xl/ctrlProps/ctrlProp154.xml><?xml version="1.0" encoding="utf-8"?>
<formControlPr xmlns="http://schemas.microsoft.com/office/spreadsheetml/2009/9/main" objectType="CheckBox" fmlaLink="I31" lockText="1" noThreeD="1"/>
</file>

<file path=xl/ctrlProps/ctrlProp155.xml><?xml version="1.0" encoding="utf-8"?>
<formControlPr xmlns="http://schemas.microsoft.com/office/spreadsheetml/2009/9/main" objectType="CheckBox" checked="Checked" fmlaLink="C32" lockText="1" noThreeD="1"/>
</file>

<file path=xl/ctrlProps/ctrlProp156.xml><?xml version="1.0" encoding="utf-8"?>
<formControlPr xmlns="http://schemas.microsoft.com/office/spreadsheetml/2009/9/main" objectType="CheckBox" fmlaLink="D32" lockText="1" noThreeD="1"/>
</file>

<file path=xl/ctrlProps/ctrlProp157.xml><?xml version="1.0" encoding="utf-8"?>
<formControlPr xmlns="http://schemas.microsoft.com/office/spreadsheetml/2009/9/main" objectType="CheckBox" fmlaLink="E32" lockText="1" noThreeD="1"/>
</file>

<file path=xl/ctrlProps/ctrlProp158.xml><?xml version="1.0" encoding="utf-8"?>
<formControlPr xmlns="http://schemas.microsoft.com/office/spreadsheetml/2009/9/main" objectType="CheckBox" checked="Checked" fmlaLink="F32" lockText="1" noThreeD="1"/>
</file>

<file path=xl/ctrlProps/ctrlProp159.xml><?xml version="1.0" encoding="utf-8"?>
<formControlPr xmlns="http://schemas.microsoft.com/office/spreadsheetml/2009/9/main" objectType="CheckBox" fmlaLink="G32" lockText="1" noThreeD="1"/>
</file>

<file path=xl/ctrlProps/ctrlProp160.xml><?xml version="1.0" encoding="utf-8"?>
<formControlPr xmlns="http://schemas.microsoft.com/office/spreadsheetml/2009/9/main" objectType="CheckBox" fmlaLink="H32" lockText="1" noThreeD="1"/>
</file>

<file path=xl/ctrlProps/ctrlProp161.xml><?xml version="1.0" encoding="utf-8"?>
<formControlPr xmlns="http://schemas.microsoft.com/office/spreadsheetml/2009/9/main" objectType="CheckBox" fmlaLink="I32" lockText="1" noThreeD="1"/>
</file>

<file path=xl/ctrlProps/ctrlProp162.xml><?xml version="1.0" encoding="utf-8"?>
<formControlPr xmlns="http://schemas.microsoft.com/office/spreadsheetml/2009/9/main" objectType="CheckBox" fmlaLink="C33" lockText="1" noThreeD="1"/>
</file>

<file path=xl/ctrlProps/ctrlProp163.xml><?xml version="1.0" encoding="utf-8"?>
<formControlPr xmlns="http://schemas.microsoft.com/office/spreadsheetml/2009/9/main" objectType="CheckBox" checked="Checked" fmlaLink="D33" lockText="1" noThreeD="1"/>
</file>

<file path=xl/ctrlProps/ctrlProp164.xml><?xml version="1.0" encoding="utf-8"?>
<formControlPr xmlns="http://schemas.microsoft.com/office/spreadsheetml/2009/9/main" objectType="CheckBox" fmlaLink="E33" lockText="1" noThreeD="1"/>
</file>

<file path=xl/ctrlProps/ctrlProp165.xml><?xml version="1.0" encoding="utf-8"?>
<formControlPr xmlns="http://schemas.microsoft.com/office/spreadsheetml/2009/9/main" objectType="CheckBox" checked="Checked" fmlaLink="F33" lockText="1" noThreeD="1"/>
</file>

<file path=xl/ctrlProps/ctrlProp166.xml><?xml version="1.0" encoding="utf-8"?>
<formControlPr xmlns="http://schemas.microsoft.com/office/spreadsheetml/2009/9/main" objectType="CheckBox" fmlaLink="G33" lockText="1" noThreeD="1"/>
</file>

<file path=xl/ctrlProps/ctrlProp167.xml><?xml version="1.0" encoding="utf-8"?>
<formControlPr xmlns="http://schemas.microsoft.com/office/spreadsheetml/2009/9/main" objectType="CheckBox" fmlaLink="H33" lockText="1" noThreeD="1"/>
</file>

<file path=xl/ctrlProps/ctrlProp168.xml><?xml version="1.0" encoding="utf-8"?>
<formControlPr xmlns="http://schemas.microsoft.com/office/spreadsheetml/2009/9/main" objectType="CheckBox" fmlaLink="I33" lockText="1" noThreeD="1"/>
</file>

<file path=xl/ctrlProps/ctrlProp169.xml><?xml version="1.0" encoding="utf-8"?>
<formControlPr xmlns="http://schemas.microsoft.com/office/spreadsheetml/2009/9/main" objectType="CheckBox" fmlaLink="C34" lockText="1" noThreeD="1"/>
</file>

<file path=xl/ctrlProps/ctrlProp170.xml><?xml version="1.0" encoding="utf-8"?>
<formControlPr xmlns="http://schemas.microsoft.com/office/spreadsheetml/2009/9/main" objectType="CheckBox" fmlaLink="D34" lockText="1" noThreeD="1"/>
</file>

<file path=xl/ctrlProps/ctrlProp171.xml><?xml version="1.0" encoding="utf-8"?>
<formControlPr xmlns="http://schemas.microsoft.com/office/spreadsheetml/2009/9/main" objectType="CheckBox" fmlaLink="E34" lockText="1" noThreeD="1"/>
</file>

<file path=xl/ctrlProps/ctrlProp172.xml><?xml version="1.0" encoding="utf-8"?>
<formControlPr xmlns="http://schemas.microsoft.com/office/spreadsheetml/2009/9/main" objectType="CheckBox" fmlaLink="F34" lockText="1" noThreeD="1"/>
</file>

<file path=xl/ctrlProps/ctrlProp173.xml><?xml version="1.0" encoding="utf-8"?>
<formControlPr xmlns="http://schemas.microsoft.com/office/spreadsheetml/2009/9/main" objectType="CheckBox" fmlaLink="G34" lockText="1" noThreeD="1"/>
</file>

<file path=xl/ctrlProps/ctrlProp174.xml><?xml version="1.0" encoding="utf-8"?>
<formControlPr xmlns="http://schemas.microsoft.com/office/spreadsheetml/2009/9/main" objectType="CheckBox" checked="Checked" fmlaLink="H34" lockText="1" noThreeD="1"/>
</file>

<file path=xl/ctrlProps/ctrlProp175.xml><?xml version="1.0" encoding="utf-8"?>
<formControlPr xmlns="http://schemas.microsoft.com/office/spreadsheetml/2009/9/main" objectType="CheckBox" fmlaLink="I34" lockText="1" noThreeD="1"/>
</file>

<file path=xl/ctrlProps/ctrlProp176.xml><?xml version="1.0" encoding="utf-8"?>
<formControlPr xmlns="http://schemas.microsoft.com/office/spreadsheetml/2009/9/main" objectType="CheckBox" fmlaLink="C36" lockText="1" noThreeD="1"/>
</file>

<file path=xl/ctrlProps/ctrlProp177.xml><?xml version="1.0" encoding="utf-8"?>
<formControlPr xmlns="http://schemas.microsoft.com/office/spreadsheetml/2009/9/main" objectType="CheckBox" fmlaLink="D36" lockText="1" noThreeD="1"/>
</file>

<file path=xl/ctrlProps/ctrlProp178.xml><?xml version="1.0" encoding="utf-8"?>
<formControlPr xmlns="http://schemas.microsoft.com/office/spreadsheetml/2009/9/main" objectType="CheckBox" fmlaLink="E36" lockText="1" noThreeD="1"/>
</file>

<file path=xl/ctrlProps/ctrlProp179.xml><?xml version="1.0" encoding="utf-8"?>
<formControlPr xmlns="http://schemas.microsoft.com/office/spreadsheetml/2009/9/main" objectType="CheckBox" fmlaLink="F36" lockText="1" noThreeD="1"/>
</file>

<file path=xl/ctrlProps/ctrlProp180.xml><?xml version="1.0" encoding="utf-8"?>
<formControlPr xmlns="http://schemas.microsoft.com/office/spreadsheetml/2009/9/main" objectType="CheckBox" fmlaLink="G36" lockText="1" noThreeD="1"/>
</file>

<file path=xl/ctrlProps/ctrlProp181.xml><?xml version="1.0" encoding="utf-8"?>
<formControlPr xmlns="http://schemas.microsoft.com/office/spreadsheetml/2009/9/main" objectType="CheckBox" fmlaLink="H36" lockText="1" noThreeD="1"/>
</file>

<file path=xl/ctrlProps/ctrlProp182.xml><?xml version="1.0" encoding="utf-8"?>
<formControlPr xmlns="http://schemas.microsoft.com/office/spreadsheetml/2009/9/main" objectType="CheckBox" fmlaLink="I36" lockText="1" noThreeD="1"/>
</file>

<file path=xl/ctrlProps/ctrlProp183.xml><?xml version="1.0" encoding="utf-8"?>
<formControlPr xmlns="http://schemas.microsoft.com/office/spreadsheetml/2009/9/main" objectType="CheckBox" checked="Checked" fmlaLink="C37" lockText="1" noThreeD="1"/>
</file>

<file path=xl/ctrlProps/ctrlProp184.xml><?xml version="1.0" encoding="utf-8"?>
<formControlPr xmlns="http://schemas.microsoft.com/office/spreadsheetml/2009/9/main" objectType="CheckBox" fmlaLink="D37" lockText="1" noThreeD="1"/>
</file>

<file path=xl/ctrlProps/ctrlProp185.xml><?xml version="1.0" encoding="utf-8"?>
<formControlPr xmlns="http://schemas.microsoft.com/office/spreadsheetml/2009/9/main" objectType="CheckBox" fmlaLink="E37" lockText="1" noThreeD="1"/>
</file>

<file path=xl/ctrlProps/ctrlProp186.xml><?xml version="1.0" encoding="utf-8"?>
<formControlPr xmlns="http://schemas.microsoft.com/office/spreadsheetml/2009/9/main" objectType="CheckBox" checked="Checked" fmlaLink="F37" lockText="1" noThreeD="1"/>
</file>

<file path=xl/ctrlProps/ctrlProp187.xml><?xml version="1.0" encoding="utf-8"?>
<formControlPr xmlns="http://schemas.microsoft.com/office/spreadsheetml/2009/9/main" objectType="CheckBox" fmlaLink="G37" lockText="1" noThreeD="1"/>
</file>

<file path=xl/ctrlProps/ctrlProp188.xml><?xml version="1.0" encoding="utf-8"?>
<formControlPr xmlns="http://schemas.microsoft.com/office/spreadsheetml/2009/9/main" objectType="CheckBox" fmlaLink="H37" lockText="1" noThreeD="1"/>
</file>

<file path=xl/ctrlProps/ctrlProp189.xml><?xml version="1.0" encoding="utf-8"?>
<formControlPr xmlns="http://schemas.microsoft.com/office/spreadsheetml/2009/9/main" objectType="CheckBox" fmlaLink="I37" lockText="1" noThreeD="1"/>
</file>

<file path=xl/ctrlProps/ctrlProp190.xml><?xml version="1.0" encoding="utf-8"?>
<formControlPr xmlns="http://schemas.microsoft.com/office/spreadsheetml/2009/9/main" objectType="CheckBox" checked="Checked" fmlaLink="C38" lockText="1" noThreeD="1"/>
</file>

<file path=xl/ctrlProps/ctrlProp191.xml><?xml version="1.0" encoding="utf-8"?>
<formControlPr xmlns="http://schemas.microsoft.com/office/spreadsheetml/2009/9/main" objectType="CheckBox" fmlaLink="D38" lockText="1" noThreeD="1"/>
</file>

<file path=xl/ctrlProps/ctrlProp192.xml><?xml version="1.0" encoding="utf-8"?>
<formControlPr xmlns="http://schemas.microsoft.com/office/spreadsheetml/2009/9/main" objectType="CheckBox" fmlaLink="E38" lockText="1" noThreeD="1"/>
</file>

<file path=xl/ctrlProps/ctrlProp193.xml><?xml version="1.0" encoding="utf-8"?>
<formControlPr xmlns="http://schemas.microsoft.com/office/spreadsheetml/2009/9/main" objectType="CheckBox" checked="Checked" fmlaLink="F38" lockText="1" noThreeD="1"/>
</file>

<file path=xl/ctrlProps/ctrlProp194.xml><?xml version="1.0" encoding="utf-8"?>
<formControlPr xmlns="http://schemas.microsoft.com/office/spreadsheetml/2009/9/main" objectType="CheckBox" fmlaLink="G38" lockText="1" noThreeD="1"/>
</file>

<file path=xl/ctrlProps/ctrlProp195.xml><?xml version="1.0" encoding="utf-8"?>
<formControlPr xmlns="http://schemas.microsoft.com/office/spreadsheetml/2009/9/main" objectType="CheckBox" fmlaLink="H38" lockText="1" noThreeD="1"/>
</file>

<file path=xl/ctrlProps/ctrlProp196.xml><?xml version="1.0" encoding="utf-8"?>
<formControlPr xmlns="http://schemas.microsoft.com/office/spreadsheetml/2009/9/main" objectType="CheckBox" fmlaLink="I38" lockText="1" noThreeD="1"/>
</file>

<file path=xl/ctrlProps/ctrlProp197.xml><?xml version="1.0" encoding="utf-8"?>
<formControlPr xmlns="http://schemas.microsoft.com/office/spreadsheetml/2009/9/main" objectType="CheckBox" fmlaLink="C39" lockText="1" noThreeD="1"/>
</file>

<file path=xl/ctrlProps/ctrlProp198.xml><?xml version="1.0" encoding="utf-8"?>
<formControlPr xmlns="http://schemas.microsoft.com/office/spreadsheetml/2009/9/main" objectType="CheckBox" checked="Checked" fmlaLink="D39" lockText="1" noThreeD="1"/>
</file>

<file path=xl/ctrlProps/ctrlProp199.xml><?xml version="1.0" encoding="utf-8"?>
<formControlPr xmlns="http://schemas.microsoft.com/office/spreadsheetml/2009/9/main" objectType="CheckBox" fmlaLink="E39" lockText="1" noThreeD="1"/>
</file>

<file path=xl/ctrlProps/ctrlProp200.xml><?xml version="1.0" encoding="utf-8"?>
<formControlPr xmlns="http://schemas.microsoft.com/office/spreadsheetml/2009/9/main" objectType="CheckBox" checked="Checked" fmlaLink="F39" lockText="1" noThreeD="1"/>
</file>

<file path=xl/ctrlProps/ctrlProp201.xml><?xml version="1.0" encoding="utf-8"?>
<formControlPr xmlns="http://schemas.microsoft.com/office/spreadsheetml/2009/9/main" objectType="CheckBox" fmlaLink="G39" lockText="1" noThreeD="1"/>
</file>

<file path=xl/ctrlProps/ctrlProp202.xml><?xml version="1.0" encoding="utf-8"?>
<formControlPr xmlns="http://schemas.microsoft.com/office/spreadsheetml/2009/9/main" objectType="CheckBox" fmlaLink="H39" lockText="1" noThreeD="1"/>
</file>

<file path=xl/ctrlProps/ctrlProp203.xml><?xml version="1.0" encoding="utf-8"?>
<formControlPr xmlns="http://schemas.microsoft.com/office/spreadsheetml/2009/9/main" objectType="CheckBox" fmlaLink="I39" lockText="1" noThreeD="1"/>
</file>

<file path=xl/ctrlProps/ctrlProp204.xml><?xml version="1.0" encoding="utf-8"?>
<formControlPr xmlns="http://schemas.microsoft.com/office/spreadsheetml/2009/9/main" objectType="CheckBox" fmlaLink="C40" lockText="1" noThreeD="1"/>
</file>

<file path=xl/ctrlProps/ctrlProp205.xml><?xml version="1.0" encoding="utf-8"?>
<formControlPr xmlns="http://schemas.microsoft.com/office/spreadsheetml/2009/9/main" objectType="CheckBox" fmlaLink="D40" lockText="1" noThreeD="1"/>
</file>

<file path=xl/ctrlProps/ctrlProp206.xml><?xml version="1.0" encoding="utf-8"?>
<formControlPr xmlns="http://schemas.microsoft.com/office/spreadsheetml/2009/9/main" objectType="CheckBox" fmlaLink="E40" lockText="1" noThreeD="1"/>
</file>

<file path=xl/ctrlProps/ctrlProp207.xml><?xml version="1.0" encoding="utf-8"?>
<formControlPr xmlns="http://schemas.microsoft.com/office/spreadsheetml/2009/9/main" objectType="CheckBox" fmlaLink="F40" lockText="1" noThreeD="1"/>
</file>

<file path=xl/ctrlProps/ctrlProp208.xml><?xml version="1.0" encoding="utf-8"?>
<formControlPr xmlns="http://schemas.microsoft.com/office/spreadsheetml/2009/9/main" objectType="CheckBox" fmlaLink="G40" lockText="1" noThreeD="1"/>
</file>

<file path=xl/ctrlProps/ctrlProp209.xml><?xml version="1.0" encoding="utf-8"?>
<formControlPr xmlns="http://schemas.microsoft.com/office/spreadsheetml/2009/9/main" objectType="CheckBox" checked="Checked" fmlaLink="H40" lockText="1" noThreeD="1"/>
</file>

<file path=xl/ctrlProps/ctrlProp210.xml><?xml version="1.0" encoding="utf-8"?>
<formControlPr xmlns="http://schemas.microsoft.com/office/spreadsheetml/2009/9/main" objectType="CheckBox" fmlaLink="I40" lockText="1" noThreeD="1"/>
</file>

<file path=xl/ctrlProps/ctrlProp211.xml><?xml version="1.0" encoding="utf-8"?>
<formControlPr xmlns="http://schemas.microsoft.com/office/spreadsheetml/2009/9/main" objectType="CheckBox" fmlaLink="C42" lockText="1" noThreeD="1"/>
</file>

<file path=xl/ctrlProps/ctrlProp212.xml><?xml version="1.0" encoding="utf-8"?>
<formControlPr xmlns="http://schemas.microsoft.com/office/spreadsheetml/2009/9/main" objectType="CheckBox" fmlaLink="D42" lockText="1" noThreeD="1"/>
</file>

<file path=xl/ctrlProps/ctrlProp213.xml><?xml version="1.0" encoding="utf-8"?>
<formControlPr xmlns="http://schemas.microsoft.com/office/spreadsheetml/2009/9/main" objectType="CheckBox" fmlaLink="E42" lockText="1" noThreeD="1"/>
</file>

<file path=xl/ctrlProps/ctrlProp214.xml><?xml version="1.0" encoding="utf-8"?>
<formControlPr xmlns="http://schemas.microsoft.com/office/spreadsheetml/2009/9/main" objectType="CheckBox" fmlaLink="F42" lockText="1" noThreeD="1"/>
</file>

<file path=xl/ctrlProps/ctrlProp215.xml><?xml version="1.0" encoding="utf-8"?>
<formControlPr xmlns="http://schemas.microsoft.com/office/spreadsheetml/2009/9/main" objectType="CheckBox" fmlaLink="G42" lockText="1" noThreeD="1"/>
</file>

<file path=xl/ctrlProps/ctrlProp216.xml><?xml version="1.0" encoding="utf-8"?>
<formControlPr xmlns="http://schemas.microsoft.com/office/spreadsheetml/2009/9/main" objectType="CheckBox" fmlaLink="H42" lockText="1" noThreeD="1"/>
</file>

<file path=xl/ctrlProps/ctrlProp217.xml><?xml version="1.0" encoding="utf-8"?>
<formControlPr xmlns="http://schemas.microsoft.com/office/spreadsheetml/2009/9/main" objectType="CheckBox" fmlaLink="I42" lockText="1" noThreeD="1"/>
</file>

<file path=xl/ctrlProps/ctrlProp218.xml><?xml version="1.0" encoding="utf-8"?>
<formControlPr xmlns="http://schemas.microsoft.com/office/spreadsheetml/2009/9/main" objectType="CheckBox" checked="Checked" fmlaLink="C43" lockText="1" noThreeD="1"/>
</file>

<file path=xl/ctrlProps/ctrlProp219.xml><?xml version="1.0" encoding="utf-8"?>
<formControlPr xmlns="http://schemas.microsoft.com/office/spreadsheetml/2009/9/main" objectType="CheckBox" fmlaLink="D43" lockText="1" noThreeD="1"/>
</file>

<file path=xl/ctrlProps/ctrlProp220.xml><?xml version="1.0" encoding="utf-8"?>
<formControlPr xmlns="http://schemas.microsoft.com/office/spreadsheetml/2009/9/main" objectType="CheckBox" fmlaLink="E43" lockText="1" noThreeD="1"/>
</file>

<file path=xl/ctrlProps/ctrlProp221.xml><?xml version="1.0" encoding="utf-8"?>
<formControlPr xmlns="http://schemas.microsoft.com/office/spreadsheetml/2009/9/main" objectType="CheckBox" checked="Checked" fmlaLink="F43" lockText="1" noThreeD="1"/>
</file>

<file path=xl/ctrlProps/ctrlProp222.xml><?xml version="1.0" encoding="utf-8"?>
<formControlPr xmlns="http://schemas.microsoft.com/office/spreadsheetml/2009/9/main" objectType="CheckBox" fmlaLink="G43" lockText="1" noThreeD="1"/>
</file>

<file path=xl/ctrlProps/ctrlProp223.xml><?xml version="1.0" encoding="utf-8"?>
<formControlPr xmlns="http://schemas.microsoft.com/office/spreadsheetml/2009/9/main" objectType="CheckBox" fmlaLink="H43" lockText="1" noThreeD="1"/>
</file>

<file path=xl/ctrlProps/ctrlProp224.xml><?xml version="1.0" encoding="utf-8"?>
<formControlPr xmlns="http://schemas.microsoft.com/office/spreadsheetml/2009/9/main" objectType="CheckBox" fmlaLink="I43" lockText="1" noThreeD="1"/>
</file>

<file path=xl/ctrlProps/ctrlProp225.xml><?xml version="1.0" encoding="utf-8"?>
<formControlPr xmlns="http://schemas.microsoft.com/office/spreadsheetml/2009/9/main" objectType="CheckBox" checked="Checked" fmlaLink="C44" lockText="1" noThreeD="1"/>
</file>

<file path=xl/ctrlProps/ctrlProp226.xml><?xml version="1.0" encoding="utf-8"?>
<formControlPr xmlns="http://schemas.microsoft.com/office/spreadsheetml/2009/9/main" objectType="CheckBox" fmlaLink="D44" lockText="1" noThreeD="1"/>
</file>

<file path=xl/ctrlProps/ctrlProp227.xml><?xml version="1.0" encoding="utf-8"?>
<formControlPr xmlns="http://schemas.microsoft.com/office/spreadsheetml/2009/9/main" objectType="CheckBox" fmlaLink="E44" lockText="1" noThreeD="1"/>
</file>

<file path=xl/ctrlProps/ctrlProp228.xml><?xml version="1.0" encoding="utf-8"?>
<formControlPr xmlns="http://schemas.microsoft.com/office/spreadsheetml/2009/9/main" objectType="CheckBox" checked="Checked" fmlaLink="F44" lockText="1" noThreeD="1"/>
</file>

<file path=xl/ctrlProps/ctrlProp229.xml><?xml version="1.0" encoding="utf-8"?>
<formControlPr xmlns="http://schemas.microsoft.com/office/spreadsheetml/2009/9/main" objectType="CheckBox" fmlaLink="G44" lockText="1" noThreeD="1"/>
</file>

<file path=xl/ctrlProps/ctrlProp230.xml><?xml version="1.0" encoding="utf-8"?>
<formControlPr xmlns="http://schemas.microsoft.com/office/spreadsheetml/2009/9/main" objectType="CheckBox" fmlaLink="H44" lockText="1" noThreeD="1"/>
</file>

<file path=xl/ctrlProps/ctrlProp231.xml><?xml version="1.0" encoding="utf-8"?>
<formControlPr xmlns="http://schemas.microsoft.com/office/spreadsheetml/2009/9/main" objectType="CheckBox" fmlaLink="I44" lockText="1" noThreeD="1"/>
</file>

<file path=xl/ctrlProps/ctrlProp232.xml><?xml version="1.0" encoding="utf-8"?>
<formControlPr xmlns="http://schemas.microsoft.com/office/spreadsheetml/2009/9/main" objectType="CheckBox" fmlaLink="C45" lockText="1" noThreeD="1"/>
</file>

<file path=xl/ctrlProps/ctrlProp233.xml><?xml version="1.0" encoding="utf-8"?>
<formControlPr xmlns="http://schemas.microsoft.com/office/spreadsheetml/2009/9/main" objectType="CheckBox" checked="Checked" fmlaLink="D45" lockText="1" noThreeD="1"/>
</file>

<file path=xl/ctrlProps/ctrlProp234.xml><?xml version="1.0" encoding="utf-8"?>
<formControlPr xmlns="http://schemas.microsoft.com/office/spreadsheetml/2009/9/main" objectType="CheckBox" fmlaLink="E45" lockText="1" noThreeD="1"/>
</file>

<file path=xl/ctrlProps/ctrlProp235.xml><?xml version="1.0" encoding="utf-8"?>
<formControlPr xmlns="http://schemas.microsoft.com/office/spreadsheetml/2009/9/main" objectType="CheckBox" checked="Checked" fmlaLink="F45" lockText="1" noThreeD="1"/>
</file>

<file path=xl/ctrlProps/ctrlProp236.xml><?xml version="1.0" encoding="utf-8"?>
<formControlPr xmlns="http://schemas.microsoft.com/office/spreadsheetml/2009/9/main" objectType="CheckBox" fmlaLink="G45" lockText="1" noThreeD="1"/>
</file>

<file path=xl/ctrlProps/ctrlProp237.xml><?xml version="1.0" encoding="utf-8"?>
<formControlPr xmlns="http://schemas.microsoft.com/office/spreadsheetml/2009/9/main" objectType="CheckBox" fmlaLink="H45" lockText="1" noThreeD="1"/>
</file>

<file path=xl/ctrlProps/ctrlProp238.xml><?xml version="1.0" encoding="utf-8"?>
<formControlPr xmlns="http://schemas.microsoft.com/office/spreadsheetml/2009/9/main" objectType="CheckBox" fmlaLink="I45" lockText="1" noThreeD="1"/>
</file>

<file path=xl/ctrlProps/ctrlProp239.xml><?xml version="1.0" encoding="utf-8"?>
<formControlPr xmlns="http://schemas.microsoft.com/office/spreadsheetml/2009/9/main" objectType="CheckBox" fmlaLink="C46" lockText="1" noThreeD="1"/>
</file>

<file path=xl/ctrlProps/ctrlProp240.xml><?xml version="1.0" encoding="utf-8"?>
<formControlPr xmlns="http://schemas.microsoft.com/office/spreadsheetml/2009/9/main" objectType="CheckBox" fmlaLink="D46" lockText="1" noThreeD="1"/>
</file>

<file path=xl/ctrlProps/ctrlProp241.xml><?xml version="1.0" encoding="utf-8"?>
<formControlPr xmlns="http://schemas.microsoft.com/office/spreadsheetml/2009/9/main" objectType="CheckBox" fmlaLink="E46" lockText="1" noThreeD="1"/>
</file>

<file path=xl/ctrlProps/ctrlProp242.xml><?xml version="1.0" encoding="utf-8"?>
<formControlPr xmlns="http://schemas.microsoft.com/office/spreadsheetml/2009/9/main" objectType="CheckBox" fmlaLink="F46" lockText="1" noThreeD="1"/>
</file>

<file path=xl/ctrlProps/ctrlProp243.xml><?xml version="1.0" encoding="utf-8"?>
<formControlPr xmlns="http://schemas.microsoft.com/office/spreadsheetml/2009/9/main" objectType="CheckBox" fmlaLink="G46" lockText="1" noThreeD="1"/>
</file>

<file path=xl/ctrlProps/ctrlProp244.xml><?xml version="1.0" encoding="utf-8"?>
<formControlPr xmlns="http://schemas.microsoft.com/office/spreadsheetml/2009/9/main" objectType="CheckBox" checked="Checked" fmlaLink="H46" lockText="1" noThreeD="1"/>
</file>

<file path=xl/ctrlProps/ctrlProp245.xml><?xml version="1.0" encoding="utf-8"?>
<formControlPr xmlns="http://schemas.microsoft.com/office/spreadsheetml/2009/9/main" objectType="CheckBox" fmlaLink="I46" lockText="1" noThreeD="1"/>
</file>

<file path=xl/ctrlProps/ctrlProp246.xml><?xml version="1.0" encoding="utf-8"?>
<formControlPr xmlns="http://schemas.microsoft.com/office/spreadsheetml/2009/9/main" objectType="CheckBox" fmlaLink="C48" lockText="1" noThreeD="1"/>
</file>

<file path=xl/ctrlProps/ctrlProp247.xml><?xml version="1.0" encoding="utf-8"?>
<formControlPr xmlns="http://schemas.microsoft.com/office/spreadsheetml/2009/9/main" objectType="CheckBox" fmlaLink="D48" lockText="1" noThreeD="1"/>
</file>

<file path=xl/ctrlProps/ctrlProp248.xml><?xml version="1.0" encoding="utf-8"?>
<formControlPr xmlns="http://schemas.microsoft.com/office/spreadsheetml/2009/9/main" objectType="CheckBox" fmlaLink="E48" lockText="1" noThreeD="1"/>
</file>

<file path=xl/ctrlProps/ctrlProp249.xml><?xml version="1.0" encoding="utf-8"?>
<formControlPr xmlns="http://schemas.microsoft.com/office/spreadsheetml/2009/9/main" objectType="CheckBox" fmlaLink="F48" lockText="1" noThreeD="1"/>
</file>

<file path=xl/ctrlProps/ctrlProp250.xml><?xml version="1.0" encoding="utf-8"?>
<formControlPr xmlns="http://schemas.microsoft.com/office/spreadsheetml/2009/9/main" objectType="CheckBox" fmlaLink="G48" lockText="1" noThreeD="1"/>
</file>

<file path=xl/ctrlProps/ctrlProp251.xml><?xml version="1.0" encoding="utf-8"?>
<formControlPr xmlns="http://schemas.microsoft.com/office/spreadsheetml/2009/9/main" objectType="CheckBox" fmlaLink="H48" lockText="1" noThreeD="1"/>
</file>

<file path=xl/ctrlProps/ctrlProp252.xml><?xml version="1.0" encoding="utf-8"?>
<formControlPr xmlns="http://schemas.microsoft.com/office/spreadsheetml/2009/9/main" objectType="CheckBox" fmlaLink="I48" lockText="1" noThreeD="1"/>
</file>

<file path=xl/ctrlProps/ctrlProp253.xml><?xml version="1.0" encoding="utf-8"?>
<formControlPr xmlns="http://schemas.microsoft.com/office/spreadsheetml/2009/9/main" objectType="CheckBox" checked="Checked" fmlaLink="C49" lockText="1" noThreeD="1"/>
</file>

<file path=xl/ctrlProps/ctrlProp254.xml><?xml version="1.0" encoding="utf-8"?>
<formControlPr xmlns="http://schemas.microsoft.com/office/spreadsheetml/2009/9/main" objectType="CheckBox" fmlaLink="D49" lockText="1" noThreeD="1"/>
</file>

<file path=xl/ctrlProps/ctrlProp255.xml><?xml version="1.0" encoding="utf-8"?>
<formControlPr xmlns="http://schemas.microsoft.com/office/spreadsheetml/2009/9/main" objectType="CheckBox" fmlaLink="E49" lockText="1" noThreeD="1"/>
</file>

<file path=xl/ctrlProps/ctrlProp256.xml><?xml version="1.0" encoding="utf-8"?>
<formControlPr xmlns="http://schemas.microsoft.com/office/spreadsheetml/2009/9/main" objectType="CheckBox" checked="Checked" fmlaLink="F49" lockText="1" noThreeD="1"/>
</file>

<file path=xl/ctrlProps/ctrlProp257.xml><?xml version="1.0" encoding="utf-8"?>
<formControlPr xmlns="http://schemas.microsoft.com/office/spreadsheetml/2009/9/main" objectType="CheckBox" fmlaLink="G49" lockText="1" noThreeD="1"/>
</file>

<file path=xl/ctrlProps/ctrlProp258.xml><?xml version="1.0" encoding="utf-8"?>
<formControlPr xmlns="http://schemas.microsoft.com/office/spreadsheetml/2009/9/main" objectType="CheckBox" fmlaLink="H49" lockText="1" noThreeD="1"/>
</file>

<file path=xl/ctrlProps/ctrlProp259.xml><?xml version="1.0" encoding="utf-8"?>
<formControlPr xmlns="http://schemas.microsoft.com/office/spreadsheetml/2009/9/main" objectType="CheckBox" fmlaLink="I49" lockText="1" noThreeD="1"/>
</file>

<file path=xl/ctrlProps/ctrlProp260.xml><?xml version="1.0" encoding="utf-8"?>
<formControlPr xmlns="http://schemas.microsoft.com/office/spreadsheetml/2009/9/main" objectType="CheckBox" checked="Checked" fmlaLink="C50" lockText="1" noThreeD="1"/>
</file>

<file path=xl/ctrlProps/ctrlProp261.xml><?xml version="1.0" encoding="utf-8"?>
<formControlPr xmlns="http://schemas.microsoft.com/office/spreadsheetml/2009/9/main" objectType="CheckBox" fmlaLink="D50" lockText="1" noThreeD="1"/>
</file>

<file path=xl/ctrlProps/ctrlProp262.xml><?xml version="1.0" encoding="utf-8"?>
<formControlPr xmlns="http://schemas.microsoft.com/office/spreadsheetml/2009/9/main" objectType="CheckBox" fmlaLink="E50" lockText="1" noThreeD="1"/>
</file>

<file path=xl/ctrlProps/ctrlProp263.xml><?xml version="1.0" encoding="utf-8"?>
<formControlPr xmlns="http://schemas.microsoft.com/office/spreadsheetml/2009/9/main" objectType="CheckBox" checked="Checked" fmlaLink="F50" lockText="1" noThreeD="1"/>
</file>

<file path=xl/ctrlProps/ctrlProp264.xml><?xml version="1.0" encoding="utf-8"?>
<formControlPr xmlns="http://schemas.microsoft.com/office/spreadsheetml/2009/9/main" objectType="CheckBox" fmlaLink="G50" lockText="1" noThreeD="1"/>
</file>

<file path=xl/ctrlProps/ctrlProp265.xml><?xml version="1.0" encoding="utf-8"?>
<formControlPr xmlns="http://schemas.microsoft.com/office/spreadsheetml/2009/9/main" objectType="CheckBox" fmlaLink="H50" lockText="1" noThreeD="1"/>
</file>

<file path=xl/ctrlProps/ctrlProp266.xml><?xml version="1.0" encoding="utf-8"?>
<formControlPr xmlns="http://schemas.microsoft.com/office/spreadsheetml/2009/9/main" objectType="CheckBox" fmlaLink="I50" lockText="1" noThreeD="1"/>
</file>

<file path=xl/ctrlProps/ctrlProp267.xml><?xml version="1.0" encoding="utf-8"?>
<formControlPr xmlns="http://schemas.microsoft.com/office/spreadsheetml/2009/9/main" objectType="CheckBox" fmlaLink="C51" lockText="1" noThreeD="1"/>
</file>

<file path=xl/ctrlProps/ctrlProp268.xml><?xml version="1.0" encoding="utf-8"?>
<formControlPr xmlns="http://schemas.microsoft.com/office/spreadsheetml/2009/9/main" objectType="CheckBox" checked="Checked" fmlaLink="D51" lockText="1" noThreeD="1"/>
</file>

<file path=xl/ctrlProps/ctrlProp269.xml><?xml version="1.0" encoding="utf-8"?>
<formControlPr xmlns="http://schemas.microsoft.com/office/spreadsheetml/2009/9/main" objectType="CheckBox" fmlaLink="E51" lockText="1" noThreeD="1"/>
</file>

<file path=xl/ctrlProps/ctrlProp270.xml><?xml version="1.0" encoding="utf-8"?>
<formControlPr xmlns="http://schemas.microsoft.com/office/spreadsheetml/2009/9/main" objectType="CheckBox" checked="Checked" fmlaLink="F51" lockText="1" noThreeD="1"/>
</file>

<file path=xl/ctrlProps/ctrlProp271.xml><?xml version="1.0" encoding="utf-8"?>
<formControlPr xmlns="http://schemas.microsoft.com/office/spreadsheetml/2009/9/main" objectType="CheckBox" fmlaLink="G51" lockText="1" noThreeD="1"/>
</file>

<file path=xl/ctrlProps/ctrlProp272.xml><?xml version="1.0" encoding="utf-8"?>
<formControlPr xmlns="http://schemas.microsoft.com/office/spreadsheetml/2009/9/main" objectType="CheckBox" fmlaLink="H51" lockText="1" noThreeD="1"/>
</file>

<file path=xl/ctrlProps/ctrlProp273.xml><?xml version="1.0" encoding="utf-8"?>
<formControlPr xmlns="http://schemas.microsoft.com/office/spreadsheetml/2009/9/main" objectType="CheckBox" fmlaLink="I51" lockText="1" noThreeD="1"/>
</file>

<file path=xl/ctrlProps/ctrlProp274.xml><?xml version="1.0" encoding="utf-8"?>
<formControlPr xmlns="http://schemas.microsoft.com/office/spreadsheetml/2009/9/main" objectType="CheckBox" fmlaLink="C52" lockText="1" noThreeD="1"/>
</file>

<file path=xl/ctrlProps/ctrlProp275.xml><?xml version="1.0" encoding="utf-8"?>
<formControlPr xmlns="http://schemas.microsoft.com/office/spreadsheetml/2009/9/main" objectType="CheckBox" fmlaLink="D52" lockText="1" noThreeD="1"/>
</file>

<file path=xl/ctrlProps/ctrlProp276.xml><?xml version="1.0" encoding="utf-8"?>
<formControlPr xmlns="http://schemas.microsoft.com/office/spreadsheetml/2009/9/main" objectType="CheckBox" fmlaLink="E52" lockText="1" noThreeD="1"/>
</file>

<file path=xl/ctrlProps/ctrlProp277.xml><?xml version="1.0" encoding="utf-8"?>
<formControlPr xmlns="http://schemas.microsoft.com/office/spreadsheetml/2009/9/main" objectType="CheckBox" fmlaLink="F52" lockText="1" noThreeD="1"/>
</file>

<file path=xl/ctrlProps/ctrlProp278.xml><?xml version="1.0" encoding="utf-8"?>
<formControlPr xmlns="http://schemas.microsoft.com/office/spreadsheetml/2009/9/main" objectType="CheckBox" fmlaLink="G52" lockText="1" noThreeD="1"/>
</file>

<file path=xl/ctrlProps/ctrlProp279.xml><?xml version="1.0" encoding="utf-8"?>
<formControlPr xmlns="http://schemas.microsoft.com/office/spreadsheetml/2009/9/main" objectType="CheckBox" checked="Checked" fmlaLink="H52" lockText="1" noThreeD="1"/>
</file>

<file path=xl/ctrlProps/ctrlProp280.xml><?xml version="1.0" encoding="utf-8"?>
<formControlPr xmlns="http://schemas.microsoft.com/office/spreadsheetml/2009/9/main" objectType="CheckBox" fmlaLink="I52" lockText="1" noThreeD="1"/>
</file>

<file path=xl/ctrlProps/ctrlProp281.xml><?xml version="1.0" encoding="utf-8"?>
<formControlPr xmlns="http://schemas.microsoft.com/office/spreadsheetml/2009/9/main" objectType="CheckBox" fmlaLink="C54" lockText="1" noThreeD="1"/>
</file>

<file path=xl/ctrlProps/ctrlProp282.xml><?xml version="1.0" encoding="utf-8"?>
<formControlPr xmlns="http://schemas.microsoft.com/office/spreadsheetml/2009/9/main" objectType="CheckBox" fmlaLink="D54" lockText="1" noThreeD="1"/>
</file>

<file path=xl/ctrlProps/ctrlProp283.xml><?xml version="1.0" encoding="utf-8"?>
<formControlPr xmlns="http://schemas.microsoft.com/office/spreadsheetml/2009/9/main" objectType="CheckBox" fmlaLink="E54" lockText="1" noThreeD="1"/>
</file>

<file path=xl/ctrlProps/ctrlProp284.xml><?xml version="1.0" encoding="utf-8"?>
<formControlPr xmlns="http://schemas.microsoft.com/office/spreadsheetml/2009/9/main" objectType="CheckBox" fmlaLink="F54" lockText="1" noThreeD="1"/>
</file>

<file path=xl/ctrlProps/ctrlProp285.xml><?xml version="1.0" encoding="utf-8"?>
<formControlPr xmlns="http://schemas.microsoft.com/office/spreadsheetml/2009/9/main" objectType="CheckBox" fmlaLink="G54" lockText="1" noThreeD="1"/>
</file>

<file path=xl/ctrlProps/ctrlProp286.xml><?xml version="1.0" encoding="utf-8"?>
<formControlPr xmlns="http://schemas.microsoft.com/office/spreadsheetml/2009/9/main" objectType="CheckBox" fmlaLink="H54" lockText="1" noThreeD="1"/>
</file>

<file path=xl/ctrlProps/ctrlProp287.xml><?xml version="1.0" encoding="utf-8"?>
<formControlPr xmlns="http://schemas.microsoft.com/office/spreadsheetml/2009/9/main" objectType="CheckBox" fmlaLink="I54" lockText="1" noThreeD="1"/>
</file>

<file path=xl/ctrlProps/ctrlProp288.xml><?xml version="1.0" encoding="utf-8"?>
<formControlPr xmlns="http://schemas.microsoft.com/office/spreadsheetml/2009/9/main" objectType="CheckBox" checked="Checked" fmlaLink="C55" lockText="1" noThreeD="1"/>
</file>

<file path=xl/ctrlProps/ctrlProp289.xml><?xml version="1.0" encoding="utf-8"?>
<formControlPr xmlns="http://schemas.microsoft.com/office/spreadsheetml/2009/9/main" objectType="CheckBox" fmlaLink="D55" lockText="1" noThreeD="1"/>
</file>

<file path=xl/ctrlProps/ctrlProp290.xml><?xml version="1.0" encoding="utf-8"?>
<formControlPr xmlns="http://schemas.microsoft.com/office/spreadsheetml/2009/9/main" objectType="CheckBox" fmlaLink="E55" lockText="1" noThreeD="1"/>
</file>

<file path=xl/ctrlProps/ctrlProp291.xml><?xml version="1.0" encoding="utf-8"?>
<formControlPr xmlns="http://schemas.microsoft.com/office/spreadsheetml/2009/9/main" objectType="CheckBox" checked="Checked" fmlaLink="F55" lockText="1" noThreeD="1"/>
</file>

<file path=xl/ctrlProps/ctrlProp292.xml><?xml version="1.0" encoding="utf-8"?>
<formControlPr xmlns="http://schemas.microsoft.com/office/spreadsheetml/2009/9/main" objectType="CheckBox" fmlaLink="G55" lockText="1" noThreeD="1"/>
</file>

<file path=xl/ctrlProps/ctrlProp293.xml><?xml version="1.0" encoding="utf-8"?>
<formControlPr xmlns="http://schemas.microsoft.com/office/spreadsheetml/2009/9/main" objectType="CheckBox" fmlaLink="H55" lockText="1" noThreeD="1"/>
</file>

<file path=xl/ctrlProps/ctrlProp294.xml><?xml version="1.0" encoding="utf-8"?>
<formControlPr xmlns="http://schemas.microsoft.com/office/spreadsheetml/2009/9/main" objectType="CheckBox" fmlaLink="I55" lockText="1" noThreeD="1"/>
</file>

<file path=xl/ctrlProps/ctrlProp295.xml><?xml version="1.0" encoding="utf-8"?>
<formControlPr xmlns="http://schemas.microsoft.com/office/spreadsheetml/2009/9/main" objectType="CheckBox" checked="Checked" fmlaLink="C56" lockText="1" noThreeD="1"/>
</file>

<file path=xl/ctrlProps/ctrlProp296.xml><?xml version="1.0" encoding="utf-8"?>
<formControlPr xmlns="http://schemas.microsoft.com/office/spreadsheetml/2009/9/main" objectType="CheckBox" fmlaLink="D56" lockText="1" noThreeD="1"/>
</file>

<file path=xl/ctrlProps/ctrlProp297.xml><?xml version="1.0" encoding="utf-8"?>
<formControlPr xmlns="http://schemas.microsoft.com/office/spreadsheetml/2009/9/main" objectType="CheckBox" fmlaLink="E56" lockText="1" noThreeD="1"/>
</file>

<file path=xl/ctrlProps/ctrlProp298.xml><?xml version="1.0" encoding="utf-8"?>
<formControlPr xmlns="http://schemas.microsoft.com/office/spreadsheetml/2009/9/main" objectType="CheckBox" checked="Checked" fmlaLink="F56" lockText="1" noThreeD="1"/>
</file>

<file path=xl/ctrlProps/ctrlProp299.xml><?xml version="1.0" encoding="utf-8"?>
<formControlPr xmlns="http://schemas.microsoft.com/office/spreadsheetml/2009/9/main" objectType="CheckBox" fmlaLink="G56" lockText="1" noThreeD="1"/>
</file>

<file path=xl/ctrlProps/ctrlProp300.xml><?xml version="1.0" encoding="utf-8"?>
<formControlPr xmlns="http://schemas.microsoft.com/office/spreadsheetml/2009/9/main" objectType="CheckBox" fmlaLink="H56" lockText="1" noThreeD="1"/>
</file>

<file path=xl/ctrlProps/ctrlProp301.xml><?xml version="1.0" encoding="utf-8"?>
<formControlPr xmlns="http://schemas.microsoft.com/office/spreadsheetml/2009/9/main" objectType="CheckBox" fmlaLink="I56" lockText="1" noThreeD="1"/>
</file>

<file path=xl/ctrlProps/ctrlProp302.xml><?xml version="1.0" encoding="utf-8"?>
<formControlPr xmlns="http://schemas.microsoft.com/office/spreadsheetml/2009/9/main" objectType="CheckBox" fmlaLink="C57" lockText="1" noThreeD="1"/>
</file>

<file path=xl/ctrlProps/ctrlProp303.xml><?xml version="1.0" encoding="utf-8"?>
<formControlPr xmlns="http://schemas.microsoft.com/office/spreadsheetml/2009/9/main" objectType="CheckBox" checked="Checked" fmlaLink="D57" lockText="1" noThreeD="1"/>
</file>

<file path=xl/ctrlProps/ctrlProp304.xml><?xml version="1.0" encoding="utf-8"?>
<formControlPr xmlns="http://schemas.microsoft.com/office/spreadsheetml/2009/9/main" objectType="CheckBox" fmlaLink="E57" lockText="1" noThreeD="1"/>
</file>

<file path=xl/ctrlProps/ctrlProp305.xml><?xml version="1.0" encoding="utf-8"?>
<formControlPr xmlns="http://schemas.microsoft.com/office/spreadsheetml/2009/9/main" objectType="CheckBox" checked="Checked" fmlaLink="F57" lockText="1" noThreeD="1"/>
</file>

<file path=xl/ctrlProps/ctrlProp306.xml><?xml version="1.0" encoding="utf-8"?>
<formControlPr xmlns="http://schemas.microsoft.com/office/spreadsheetml/2009/9/main" objectType="CheckBox" fmlaLink="G57" lockText="1" noThreeD="1"/>
</file>

<file path=xl/ctrlProps/ctrlProp307.xml><?xml version="1.0" encoding="utf-8"?>
<formControlPr xmlns="http://schemas.microsoft.com/office/spreadsheetml/2009/9/main" objectType="CheckBox" fmlaLink="H57" lockText="1" noThreeD="1"/>
</file>

<file path=xl/ctrlProps/ctrlProp308.xml><?xml version="1.0" encoding="utf-8"?>
<formControlPr xmlns="http://schemas.microsoft.com/office/spreadsheetml/2009/9/main" objectType="CheckBox" fmlaLink="I57" lockText="1" noThreeD="1"/>
</file>

<file path=xl/ctrlProps/ctrlProp309.xml><?xml version="1.0" encoding="utf-8"?>
<formControlPr xmlns="http://schemas.microsoft.com/office/spreadsheetml/2009/9/main" objectType="CheckBox" fmlaLink="C58" lockText="1" noThreeD="1"/>
</file>

<file path=xl/ctrlProps/ctrlProp310.xml><?xml version="1.0" encoding="utf-8"?>
<formControlPr xmlns="http://schemas.microsoft.com/office/spreadsheetml/2009/9/main" objectType="CheckBox" fmlaLink="D58" lockText="1" noThreeD="1"/>
</file>

<file path=xl/ctrlProps/ctrlProp311.xml><?xml version="1.0" encoding="utf-8"?>
<formControlPr xmlns="http://schemas.microsoft.com/office/spreadsheetml/2009/9/main" objectType="CheckBox" fmlaLink="E58" lockText="1" noThreeD="1"/>
</file>

<file path=xl/ctrlProps/ctrlProp312.xml><?xml version="1.0" encoding="utf-8"?>
<formControlPr xmlns="http://schemas.microsoft.com/office/spreadsheetml/2009/9/main" objectType="CheckBox" fmlaLink="F58" lockText="1" noThreeD="1"/>
</file>

<file path=xl/ctrlProps/ctrlProp313.xml><?xml version="1.0" encoding="utf-8"?>
<formControlPr xmlns="http://schemas.microsoft.com/office/spreadsheetml/2009/9/main" objectType="CheckBox" fmlaLink="G58" lockText="1" noThreeD="1"/>
</file>

<file path=xl/ctrlProps/ctrlProp314.xml><?xml version="1.0" encoding="utf-8"?>
<formControlPr xmlns="http://schemas.microsoft.com/office/spreadsheetml/2009/9/main" objectType="CheckBox" checked="Checked" fmlaLink="H58" lockText="1" noThreeD="1"/>
</file>

<file path=xl/ctrlProps/ctrlProp315.xml><?xml version="1.0" encoding="utf-8"?>
<formControlPr xmlns="http://schemas.microsoft.com/office/spreadsheetml/2009/9/main" objectType="CheckBox" fmlaLink="I58" lockText="1" noThreeD="1"/>
</file>

<file path=xl/ctrlProps/ctrlProp316.xml><?xml version="1.0" encoding="utf-8"?>
<formControlPr xmlns="http://schemas.microsoft.com/office/spreadsheetml/2009/9/main" objectType="CheckBox" fmlaLink="C60" lockText="1" noThreeD="1"/>
</file>

<file path=xl/ctrlProps/ctrlProp317.xml><?xml version="1.0" encoding="utf-8"?>
<formControlPr xmlns="http://schemas.microsoft.com/office/spreadsheetml/2009/9/main" objectType="CheckBox" fmlaLink="D60" lockText="1" noThreeD="1"/>
</file>

<file path=xl/ctrlProps/ctrlProp318.xml><?xml version="1.0" encoding="utf-8"?>
<formControlPr xmlns="http://schemas.microsoft.com/office/spreadsheetml/2009/9/main" objectType="CheckBox" fmlaLink="E60" lockText="1" noThreeD="1"/>
</file>

<file path=xl/ctrlProps/ctrlProp319.xml><?xml version="1.0" encoding="utf-8"?>
<formControlPr xmlns="http://schemas.microsoft.com/office/spreadsheetml/2009/9/main" objectType="CheckBox" fmlaLink="F60" lockText="1" noThreeD="1"/>
</file>

<file path=xl/ctrlProps/ctrlProp320.xml><?xml version="1.0" encoding="utf-8"?>
<formControlPr xmlns="http://schemas.microsoft.com/office/spreadsheetml/2009/9/main" objectType="CheckBox" fmlaLink="G60" lockText="1" noThreeD="1"/>
</file>

<file path=xl/ctrlProps/ctrlProp321.xml><?xml version="1.0" encoding="utf-8"?>
<formControlPr xmlns="http://schemas.microsoft.com/office/spreadsheetml/2009/9/main" objectType="CheckBox" fmlaLink="H60" lockText="1" noThreeD="1"/>
</file>

<file path=xl/ctrlProps/ctrlProp322.xml><?xml version="1.0" encoding="utf-8"?>
<formControlPr xmlns="http://schemas.microsoft.com/office/spreadsheetml/2009/9/main" objectType="CheckBox" fmlaLink="I60" lockText="1" noThreeD="1"/>
</file>

<file path=xl/ctrlProps/ctrlProp323.xml><?xml version="1.0" encoding="utf-8"?>
<formControlPr xmlns="http://schemas.microsoft.com/office/spreadsheetml/2009/9/main" objectType="CheckBox" checked="Checked" fmlaLink="C61" lockText="1" noThreeD="1"/>
</file>

<file path=xl/ctrlProps/ctrlProp324.xml><?xml version="1.0" encoding="utf-8"?>
<formControlPr xmlns="http://schemas.microsoft.com/office/spreadsheetml/2009/9/main" objectType="CheckBox" fmlaLink="D61" lockText="1" noThreeD="1"/>
</file>

<file path=xl/ctrlProps/ctrlProp325.xml><?xml version="1.0" encoding="utf-8"?>
<formControlPr xmlns="http://schemas.microsoft.com/office/spreadsheetml/2009/9/main" objectType="CheckBox" fmlaLink="E61" lockText="1" noThreeD="1"/>
</file>

<file path=xl/ctrlProps/ctrlProp326.xml><?xml version="1.0" encoding="utf-8"?>
<formControlPr xmlns="http://schemas.microsoft.com/office/spreadsheetml/2009/9/main" objectType="CheckBox" checked="Checked" fmlaLink="F61" lockText="1" noThreeD="1"/>
</file>

<file path=xl/ctrlProps/ctrlProp327.xml><?xml version="1.0" encoding="utf-8"?>
<formControlPr xmlns="http://schemas.microsoft.com/office/spreadsheetml/2009/9/main" objectType="CheckBox" fmlaLink="G61" lockText="1" noThreeD="1"/>
</file>

<file path=xl/ctrlProps/ctrlProp328.xml><?xml version="1.0" encoding="utf-8"?>
<formControlPr xmlns="http://schemas.microsoft.com/office/spreadsheetml/2009/9/main" objectType="CheckBox" fmlaLink="H61" lockText="1" noThreeD="1"/>
</file>

<file path=xl/ctrlProps/ctrlProp329.xml><?xml version="1.0" encoding="utf-8"?>
<formControlPr xmlns="http://schemas.microsoft.com/office/spreadsheetml/2009/9/main" objectType="CheckBox" fmlaLink="I61" lockText="1" noThreeD="1"/>
</file>

<file path=xl/ctrlProps/ctrlProp330.xml><?xml version="1.0" encoding="utf-8"?>
<formControlPr xmlns="http://schemas.microsoft.com/office/spreadsheetml/2009/9/main" objectType="CheckBox" checked="Checked" fmlaLink="C62" lockText="1" noThreeD="1"/>
</file>

<file path=xl/ctrlProps/ctrlProp331.xml><?xml version="1.0" encoding="utf-8"?>
<formControlPr xmlns="http://schemas.microsoft.com/office/spreadsheetml/2009/9/main" objectType="CheckBox" fmlaLink="D62" lockText="1" noThreeD="1"/>
</file>

<file path=xl/ctrlProps/ctrlProp332.xml><?xml version="1.0" encoding="utf-8"?>
<formControlPr xmlns="http://schemas.microsoft.com/office/spreadsheetml/2009/9/main" objectType="CheckBox" fmlaLink="E62" lockText="1" noThreeD="1"/>
</file>

<file path=xl/ctrlProps/ctrlProp333.xml><?xml version="1.0" encoding="utf-8"?>
<formControlPr xmlns="http://schemas.microsoft.com/office/spreadsheetml/2009/9/main" objectType="CheckBox" checked="Checked" fmlaLink="F62" lockText="1" noThreeD="1"/>
</file>

<file path=xl/ctrlProps/ctrlProp334.xml><?xml version="1.0" encoding="utf-8"?>
<formControlPr xmlns="http://schemas.microsoft.com/office/spreadsheetml/2009/9/main" objectType="CheckBox" fmlaLink="G62" lockText="1" noThreeD="1"/>
</file>

<file path=xl/ctrlProps/ctrlProp335.xml><?xml version="1.0" encoding="utf-8"?>
<formControlPr xmlns="http://schemas.microsoft.com/office/spreadsheetml/2009/9/main" objectType="CheckBox" fmlaLink="H62" lockText="1" noThreeD="1"/>
</file>

<file path=xl/ctrlProps/ctrlProp336.xml><?xml version="1.0" encoding="utf-8"?>
<formControlPr xmlns="http://schemas.microsoft.com/office/spreadsheetml/2009/9/main" objectType="CheckBox" fmlaLink="I62" lockText="1" noThreeD="1"/>
</file>

<file path=xl/ctrlProps/ctrlProp337.xml><?xml version="1.0" encoding="utf-8"?>
<formControlPr xmlns="http://schemas.microsoft.com/office/spreadsheetml/2009/9/main" objectType="CheckBox" fmlaLink="C63" lockText="1" noThreeD="1"/>
</file>

<file path=xl/ctrlProps/ctrlProp338.xml><?xml version="1.0" encoding="utf-8"?>
<formControlPr xmlns="http://schemas.microsoft.com/office/spreadsheetml/2009/9/main" objectType="CheckBox" checked="Checked" fmlaLink="D63" lockText="1" noThreeD="1"/>
</file>

<file path=xl/ctrlProps/ctrlProp339.xml><?xml version="1.0" encoding="utf-8"?>
<formControlPr xmlns="http://schemas.microsoft.com/office/spreadsheetml/2009/9/main" objectType="CheckBox" fmlaLink="E63" lockText="1" noThreeD="1"/>
</file>

<file path=xl/ctrlProps/ctrlProp340.xml><?xml version="1.0" encoding="utf-8"?>
<formControlPr xmlns="http://schemas.microsoft.com/office/spreadsheetml/2009/9/main" objectType="CheckBox" checked="Checked" fmlaLink="F63" lockText="1" noThreeD="1"/>
</file>

<file path=xl/ctrlProps/ctrlProp341.xml><?xml version="1.0" encoding="utf-8"?>
<formControlPr xmlns="http://schemas.microsoft.com/office/spreadsheetml/2009/9/main" objectType="CheckBox" fmlaLink="G63" lockText="1" noThreeD="1"/>
</file>

<file path=xl/ctrlProps/ctrlProp342.xml><?xml version="1.0" encoding="utf-8"?>
<formControlPr xmlns="http://schemas.microsoft.com/office/spreadsheetml/2009/9/main" objectType="CheckBox" fmlaLink="H63" lockText="1" noThreeD="1"/>
</file>

<file path=xl/ctrlProps/ctrlProp343.xml><?xml version="1.0" encoding="utf-8"?>
<formControlPr xmlns="http://schemas.microsoft.com/office/spreadsheetml/2009/9/main" objectType="CheckBox" fmlaLink="I63" lockText="1" noThreeD="1"/>
</file>

<file path=xl/ctrlProps/ctrlProp344.xml><?xml version="1.0" encoding="utf-8"?>
<formControlPr xmlns="http://schemas.microsoft.com/office/spreadsheetml/2009/9/main" objectType="CheckBox" fmlaLink="C64" lockText="1" noThreeD="1"/>
</file>

<file path=xl/ctrlProps/ctrlProp345.xml><?xml version="1.0" encoding="utf-8"?>
<formControlPr xmlns="http://schemas.microsoft.com/office/spreadsheetml/2009/9/main" objectType="CheckBox" fmlaLink="D64" lockText="1" noThreeD="1"/>
</file>

<file path=xl/ctrlProps/ctrlProp346.xml><?xml version="1.0" encoding="utf-8"?>
<formControlPr xmlns="http://schemas.microsoft.com/office/spreadsheetml/2009/9/main" objectType="CheckBox" fmlaLink="E64" lockText="1" noThreeD="1"/>
</file>

<file path=xl/ctrlProps/ctrlProp347.xml><?xml version="1.0" encoding="utf-8"?>
<formControlPr xmlns="http://schemas.microsoft.com/office/spreadsheetml/2009/9/main" objectType="CheckBox" fmlaLink="F64" lockText="1" noThreeD="1"/>
</file>

<file path=xl/ctrlProps/ctrlProp348.xml><?xml version="1.0" encoding="utf-8"?>
<formControlPr xmlns="http://schemas.microsoft.com/office/spreadsheetml/2009/9/main" objectType="CheckBox" fmlaLink="G64" lockText="1" noThreeD="1"/>
</file>

<file path=xl/ctrlProps/ctrlProp349.xml><?xml version="1.0" encoding="utf-8"?>
<formControlPr xmlns="http://schemas.microsoft.com/office/spreadsheetml/2009/9/main" objectType="CheckBox" checked="Checked" fmlaLink="H64" lockText="1" noThreeD="1"/>
</file>

<file path=xl/ctrlProps/ctrlProp350.xml><?xml version="1.0" encoding="utf-8"?>
<formControlPr xmlns="http://schemas.microsoft.com/office/spreadsheetml/2009/9/main" objectType="CheckBox" fmlaLink="I64" lockText="1" noThreeD="1"/>
</file>

<file path=xl/ctrlProps/ctrlProp351.xml><?xml version="1.0" encoding="utf-8"?>
<formControlPr xmlns="http://schemas.microsoft.com/office/spreadsheetml/2009/9/main" objectType="CheckBox" fmlaLink="C66" lockText="1" noThreeD="1"/>
</file>

<file path=xl/ctrlProps/ctrlProp352.xml><?xml version="1.0" encoding="utf-8"?>
<formControlPr xmlns="http://schemas.microsoft.com/office/spreadsheetml/2009/9/main" objectType="CheckBox" fmlaLink="D66" lockText="1" noThreeD="1"/>
</file>

<file path=xl/ctrlProps/ctrlProp353.xml><?xml version="1.0" encoding="utf-8"?>
<formControlPr xmlns="http://schemas.microsoft.com/office/spreadsheetml/2009/9/main" objectType="CheckBox" fmlaLink="E66" lockText="1" noThreeD="1"/>
</file>

<file path=xl/ctrlProps/ctrlProp354.xml><?xml version="1.0" encoding="utf-8"?>
<formControlPr xmlns="http://schemas.microsoft.com/office/spreadsheetml/2009/9/main" objectType="CheckBox" fmlaLink="F66" lockText="1" noThreeD="1"/>
</file>

<file path=xl/ctrlProps/ctrlProp355.xml><?xml version="1.0" encoding="utf-8"?>
<formControlPr xmlns="http://schemas.microsoft.com/office/spreadsheetml/2009/9/main" objectType="CheckBox" fmlaLink="G66" lockText="1" noThreeD="1"/>
</file>

<file path=xl/ctrlProps/ctrlProp356.xml><?xml version="1.0" encoding="utf-8"?>
<formControlPr xmlns="http://schemas.microsoft.com/office/spreadsheetml/2009/9/main" objectType="CheckBox" fmlaLink="H66" lockText="1" noThreeD="1"/>
</file>

<file path=xl/ctrlProps/ctrlProp357.xml><?xml version="1.0" encoding="utf-8"?>
<formControlPr xmlns="http://schemas.microsoft.com/office/spreadsheetml/2009/9/main" objectType="CheckBox" fmlaLink="I66" lockText="1" noThreeD="1"/>
</file>

<file path=xl/ctrlProps/ctrlProp358.xml><?xml version="1.0" encoding="utf-8"?>
<formControlPr xmlns="http://schemas.microsoft.com/office/spreadsheetml/2009/9/main" objectType="CheckBox" checked="Checked" fmlaLink="C67" lockText="1" noThreeD="1"/>
</file>

<file path=xl/ctrlProps/ctrlProp359.xml><?xml version="1.0" encoding="utf-8"?>
<formControlPr xmlns="http://schemas.microsoft.com/office/spreadsheetml/2009/9/main" objectType="CheckBox" fmlaLink="D67" lockText="1" noThreeD="1"/>
</file>

<file path=xl/ctrlProps/ctrlProp360.xml><?xml version="1.0" encoding="utf-8"?>
<formControlPr xmlns="http://schemas.microsoft.com/office/spreadsheetml/2009/9/main" objectType="CheckBox" fmlaLink="E67" lockText="1" noThreeD="1"/>
</file>

<file path=xl/ctrlProps/ctrlProp361.xml><?xml version="1.0" encoding="utf-8"?>
<formControlPr xmlns="http://schemas.microsoft.com/office/spreadsheetml/2009/9/main" objectType="CheckBox" checked="Checked" fmlaLink="F67" lockText="1" noThreeD="1"/>
</file>

<file path=xl/ctrlProps/ctrlProp362.xml><?xml version="1.0" encoding="utf-8"?>
<formControlPr xmlns="http://schemas.microsoft.com/office/spreadsheetml/2009/9/main" objectType="CheckBox" fmlaLink="G67" lockText="1" noThreeD="1"/>
</file>

<file path=xl/ctrlProps/ctrlProp363.xml><?xml version="1.0" encoding="utf-8"?>
<formControlPr xmlns="http://schemas.microsoft.com/office/spreadsheetml/2009/9/main" objectType="CheckBox" fmlaLink="H67" lockText="1" noThreeD="1"/>
</file>

<file path=xl/ctrlProps/ctrlProp364.xml><?xml version="1.0" encoding="utf-8"?>
<formControlPr xmlns="http://schemas.microsoft.com/office/spreadsheetml/2009/9/main" objectType="CheckBox" fmlaLink="I67" lockText="1" noThreeD="1"/>
</file>

<file path=xl/ctrlProps/ctrlProp365.xml><?xml version="1.0" encoding="utf-8"?>
<formControlPr xmlns="http://schemas.microsoft.com/office/spreadsheetml/2009/9/main" objectType="CheckBox" checked="Checked" fmlaLink="C68" lockText="1" noThreeD="1"/>
</file>

<file path=xl/ctrlProps/ctrlProp366.xml><?xml version="1.0" encoding="utf-8"?>
<formControlPr xmlns="http://schemas.microsoft.com/office/spreadsheetml/2009/9/main" objectType="CheckBox" fmlaLink="D68" lockText="1" noThreeD="1"/>
</file>

<file path=xl/ctrlProps/ctrlProp367.xml><?xml version="1.0" encoding="utf-8"?>
<formControlPr xmlns="http://schemas.microsoft.com/office/spreadsheetml/2009/9/main" objectType="CheckBox" fmlaLink="E68" lockText="1" noThreeD="1"/>
</file>

<file path=xl/ctrlProps/ctrlProp368.xml><?xml version="1.0" encoding="utf-8"?>
<formControlPr xmlns="http://schemas.microsoft.com/office/spreadsheetml/2009/9/main" objectType="CheckBox" checked="Checked" fmlaLink="F68" lockText="1" noThreeD="1"/>
</file>

<file path=xl/ctrlProps/ctrlProp369.xml><?xml version="1.0" encoding="utf-8"?>
<formControlPr xmlns="http://schemas.microsoft.com/office/spreadsheetml/2009/9/main" objectType="CheckBox" fmlaLink="G68" lockText="1" noThreeD="1"/>
</file>

<file path=xl/ctrlProps/ctrlProp370.xml><?xml version="1.0" encoding="utf-8"?>
<formControlPr xmlns="http://schemas.microsoft.com/office/spreadsheetml/2009/9/main" objectType="CheckBox" fmlaLink="H68" lockText="1" noThreeD="1"/>
</file>

<file path=xl/ctrlProps/ctrlProp371.xml><?xml version="1.0" encoding="utf-8"?>
<formControlPr xmlns="http://schemas.microsoft.com/office/spreadsheetml/2009/9/main" objectType="CheckBox" fmlaLink="I68" lockText="1" noThreeD="1"/>
</file>

<file path=xl/ctrlProps/ctrlProp372.xml><?xml version="1.0" encoding="utf-8"?>
<formControlPr xmlns="http://schemas.microsoft.com/office/spreadsheetml/2009/9/main" objectType="CheckBox" fmlaLink="C69" lockText="1" noThreeD="1"/>
</file>

<file path=xl/ctrlProps/ctrlProp373.xml><?xml version="1.0" encoding="utf-8"?>
<formControlPr xmlns="http://schemas.microsoft.com/office/spreadsheetml/2009/9/main" objectType="CheckBox" checked="Checked" fmlaLink="D69" lockText="1" noThreeD="1"/>
</file>

<file path=xl/ctrlProps/ctrlProp374.xml><?xml version="1.0" encoding="utf-8"?>
<formControlPr xmlns="http://schemas.microsoft.com/office/spreadsheetml/2009/9/main" objectType="CheckBox" fmlaLink="E69" lockText="1" noThreeD="1"/>
</file>

<file path=xl/ctrlProps/ctrlProp375.xml><?xml version="1.0" encoding="utf-8"?>
<formControlPr xmlns="http://schemas.microsoft.com/office/spreadsheetml/2009/9/main" objectType="CheckBox" checked="Checked" fmlaLink="F69" lockText="1" noThreeD="1"/>
</file>

<file path=xl/ctrlProps/ctrlProp376.xml><?xml version="1.0" encoding="utf-8"?>
<formControlPr xmlns="http://schemas.microsoft.com/office/spreadsheetml/2009/9/main" objectType="CheckBox" fmlaLink="G69" lockText="1" noThreeD="1"/>
</file>

<file path=xl/ctrlProps/ctrlProp377.xml><?xml version="1.0" encoding="utf-8"?>
<formControlPr xmlns="http://schemas.microsoft.com/office/spreadsheetml/2009/9/main" objectType="CheckBox" fmlaLink="H69" lockText="1" noThreeD="1"/>
</file>

<file path=xl/ctrlProps/ctrlProp378.xml><?xml version="1.0" encoding="utf-8"?>
<formControlPr xmlns="http://schemas.microsoft.com/office/spreadsheetml/2009/9/main" objectType="CheckBox" fmlaLink="I69" lockText="1" noThreeD="1"/>
</file>

<file path=xl/ctrlProps/ctrlProp379.xml><?xml version="1.0" encoding="utf-8"?>
<formControlPr xmlns="http://schemas.microsoft.com/office/spreadsheetml/2009/9/main" objectType="CheckBox" fmlaLink="C70" lockText="1" noThreeD="1"/>
</file>

<file path=xl/ctrlProps/ctrlProp380.xml><?xml version="1.0" encoding="utf-8"?>
<formControlPr xmlns="http://schemas.microsoft.com/office/spreadsheetml/2009/9/main" objectType="CheckBox" fmlaLink="D70" lockText="1" noThreeD="1"/>
</file>

<file path=xl/ctrlProps/ctrlProp381.xml><?xml version="1.0" encoding="utf-8"?>
<formControlPr xmlns="http://schemas.microsoft.com/office/spreadsheetml/2009/9/main" objectType="CheckBox" fmlaLink="E70" lockText="1" noThreeD="1"/>
</file>

<file path=xl/ctrlProps/ctrlProp382.xml><?xml version="1.0" encoding="utf-8"?>
<formControlPr xmlns="http://schemas.microsoft.com/office/spreadsheetml/2009/9/main" objectType="CheckBox" fmlaLink="F70" lockText="1" noThreeD="1"/>
</file>

<file path=xl/ctrlProps/ctrlProp383.xml><?xml version="1.0" encoding="utf-8"?>
<formControlPr xmlns="http://schemas.microsoft.com/office/spreadsheetml/2009/9/main" objectType="CheckBox" fmlaLink="G70" lockText="1" noThreeD="1"/>
</file>

<file path=xl/ctrlProps/ctrlProp384.xml><?xml version="1.0" encoding="utf-8"?>
<formControlPr xmlns="http://schemas.microsoft.com/office/spreadsheetml/2009/9/main" objectType="CheckBox" checked="Checked" fmlaLink="H70" lockText="1" noThreeD="1"/>
</file>

<file path=xl/ctrlProps/ctrlProp385.xml><?xml version="1.0" encoding="utf-8"?>
<formControlPr xmlns="http://schemas.microsoft.com/office/spreadsheetml/2009/9/main" objectType="CheckBox" fmlaLink="I70" lockText="1" noThreeD="1"/>
</file>

<file path=xl/ctrlProps/ctrlProp386.xml><?xml version="1.0" encoding="utf-8"?>
<formControlPr xmlns="http://schemas.microsoft.com/office/spreadsheetml/2009/9/main" objectType="CheckBox" fmlaLink="C72" lockText="1" noThreeD="1"/>
</file>

<file path=xl/ctrlProps/ctrlProp387.xml><?xml version="1.0" encoding="utf-8"?>
<formControlPr xmlns="http://schemas.microsoft.com/office/spreadsheetml/2009/9/main" objectType="CheckBox" fmlaLink="D72" lockText="1" noThreeD="1"/>
</file>

<file path=xl/ctrlProps/ctrlProp388.xml><?xml version="1.0" encoding="utf-8"?>
<formControlPr xmlns="http://schemas.microsoft.com/office/spreadsheetml/2009/9/main" objectType="CheckBox" fmlaLink="E72" lockText="1" noThreeD="1"/>
</file>

<file path=xl/ctrlProps/ctrlProp389.xml><?xml version="1.0" encoding="utf-8"?>
<formControlPr xmlns="http://schemas.microsoft.com/office/spreadsheetml/2009/9/main" objectType="CheckBox" fmlaLink="F72" lockText="1" noThreeD="1"/>
</file>

<file path=xl/ctrlProps/ctrlProp390.xml><?xml version="1.0" encoding="utf-8"?>
<formControlPr xmlns="http://schemas.microsoft.com/office/spreadsheetml/2009/9/main" objectType="CheckBox" fmlaLink="G72" lockText="1" noThreeD="1"/>
</file>

<file path=xl/ctrlProps/ctrlProp391.xml><?xml version="1.0" encoding="utf-8"?>
<formControlPr xmlns="http://schemas.microsoft.com/office/spreadsheetml/2009/9/main" objectType="CheckBox" fmlaLink="H72" lockText="1" noThreeD="1"/>
</file>

<file path=xl/ctrlProps/ctrlProp392.xml><?xml version="1.0" encoding="utf-8"?>
<formControlPr xmlns="http://schemas.microsoft.com/office/spreadsheetml/2009/9/main" objectType="CheckBox" fmlaLink="I72" lockText="1" noThreeD="1"/>
</file>

<file path=xl/ctrlProps/ctrlProp393.xml><?xml version="1.0" encoding="utf-8"?>
<formControlPr xmlns="http://schemas.microsoft.com/office/spreadsheetml/2009/9/main" objectType="CheckBox" checked="Checked" fmlaLink="C73" lockText="1" noThreeD="1"/>
</file>

<file path=xl/ctrlProps/ctrlProp394.xml><?xml version="1.0" encoding="utf-8"?>
<formControlPr xmlns="http://schemas.microsoft.com/office/spreadsheetml/2009/9/main" objectType="CheckBox" fmlaLink="D73" lockText="1" noThreeD="1"/>
</file>

<file path=xl/ctrlProps/ctrlProp395.xml><?xml version="1.0" encoding="utf-8"?>
<formControlPr xmlns="http://schemas.microsoft.com/office/spreadsheetml/2009/9/main" objectType="CheckBox" fmlaLink="E73" lockText="1" noThreeD="1"/>
</file>

<file path=xl/ctrlProps/ctrlProp396.xml><?xml version="1.0" encoding="utf-8"?>
<formControlPr xmlns="http://schemas.microsoft.com/office/spreadsheetml/2009/9/main" objectType="CheckBox" checked="Checked" fmlaLink="F73" lockText="1" noThreeD="1"/>
</file>

<file path=xl/ctrlProps/ctrlProp397.xml><?xml version="1.0" encoding="utf-8"?>
<formControlPr xmlns="http://schemas.microsoft.com/office/spreadsheetml/2009/9/main" objectType="CheckBox" fmlaLink="G73" lockText="1" noThreeD="1"/>
</file>

<file path=xl/ctrlProps/ctrlProp398.xml><?xml version="1.0" encoding="utf-8"?>
<formControlPr xmlns="http://schemas.microsoft.com/office/spreadsheetml/2009/9/main" objectType="CheckBox" fmlaLink="H73" lockText="1" noThreeD="1"/>
</file>

<file path=xl/ctrlProps/ctrlProp399.xml><?xml version="1.0" encoding="utf-8"?>
<formControlPr xmlns="http://schemas.microsoft.com/office/spreadsheetml/2009/9/main" objectType="CheckBox" fmlaLink="I73" lockText="1" noThreeD="1"/>
</file>

<file path=xl/ctrlProps/ctrlProp400.xml><?xml version="1.0" encoding="utf-8"?>
<formControlPr xmlns="http://schemas.microsoft.com/office/spreadsheetml/2009/9/main" objectType="CheckBox" checked="Checked" fmlaLink="C74" lockText="1" noThreeD="1"/>
</file>

<file path=xl/ctrlProps/ctrlProp401.xml><?xml version="1.0" encoding="utf-8"?>
<formControlPr xmlns="http://schemas.microsoft.com/office/spreadsheetml/2009/9/main" objectType="CheckBox" fmlaLink="D74" lockText="1" noThreeD="1"/>
</file>

<file path=xl/ctrlProps/ctrlProp402.xml><?xml version="1.0" encoding="utf-8"?>
<formControlPr xmlns="http://schemas.microsoft.com/office/spreadsheetml/2009/9/main" objectType="CheckBox" fmlaLink="E74" lockText="1" noThreeD="1"/>
</file>

<file path=xl/ctrlProps/ctrlProp403.xml><?xml version="1.0" encoding="utf-8"?>
<formControlPr xmlns="http://schemas.microsoft.com/office/spreadsheetml/2009/9/main" objectType="CheckBox" checked="Checked" fmlaLink="F74" lockText="1" noThreeD="1"/>
</file>

<file path=xl/ctrlProps/ctrlProp404.xml><?xml version="1.0" encoding="utf-8"?>
<formControlPr xmlns="http://schemas.microsoft.com/office/spreadsheetml/2009/9/main" objectType="CheckBox" fmlaLink="G74" lockText="1" noThreeD="1"/>
</file>

<file path=xl/ctrlProps/ctrlProp405.xml><?xml version="1.0" encoding="utf-8"?>
<formControlPr xmlns="http://schemas.microsoft.com/office/spreadsheetml/2009/9/main" objectType="CheckBox" fmlaLink="H74" lockText="1" noThreeD="1"/>
</file>

<file path=xl/ctrlProps/ctrlProp406.xml><?xml version="1.0" encoding="utf-8"?>
<formControlPr xmlns="http://schemas.microsoft.com/office/spreadsheetml/2009/9/main" objectType="CheckBox" fmlaLink="I74" lockText="1" noThreeD="1"/>
</file>

<file path=xl/ctrlProps/ctrlProp407.xml><?xml version="1.0" encoding="utf-8"?>
<formControlPr xmlns="http://schemas.microsoft.com/office/spreadsheetml/2009/9/main" objectType="CheckBox" fmlaLink="C75" lockText="1" noThreeD="1"/>
</file>

<file path=xl/ctrlProps/ctrlProp408.xml><?xml version="1.0" encoding="utf-8"?>
<formControlPr xmlns="http://schemas.microsoft.com/office/spreadsheetml/2009/9/main" objectType="CheckBox" checked="Checked" fmlaLink="D75" lockText="1" noThreeD="1"/>
</file>

<file path=xl/ctrlProps/ctrlProp409.xml><?xml version="1.0" encoding="utf-8"?>
<formControlPr xmlns="http://schemas.microsoft.com/office/spreadsheetml/2009/9/main" objectType="CheckBox" fmlaLink="E75" lockText="1" noThreeD="1"/>
</file>

<file path=xl/ctrlProps/ctrlProp410.xml><?xml version="1.0" encoding="utf-8"?>
<formControlPr xmlns="http://schemas.microsoft.com/office/spreadsheetml/2009/9/main" objectType="CheckBox" checked="Checked" fmlaLink="F75" lockText="1" noThreeD="1"/>
</file>

<file path=xl/ctrlProps/ctrlProp411.xml><?xml version="1.0" encoding="utf-8"?>
<formControlPr xmlns="http://schemas.microsoft.com/office/spreadsheetml/2009/9/main" objectType="CheckBox" fmlaLink="G75" lockText="1" noThreeD="1"/>
</file>

<file path=xl/ctrlProps/ctrlProp412.xml><?xml version="1.0" encoding="utf-8"?>
<formControlPr xmlns="http://schemas.microsoft.com/office/spreadsheetml/2009/9/main" objectType="CheckBox" fmlaLink="H75" lockText="1" noThreeD="1"/>
</file>

<file path=xl/ctrlProps/ctrlProp413.xml><?xml version="1.0" encoding="utf-8"?>
<formControlPr xmlns="http://schemas.microsoft.com/office/spreadsheetml/2009/9/main" objectType="CheckBox" fmlaLink="I75" lockText="1" noThreeD="1"/>
</file>

<file path=xl/ctrlProps/ctrlProp414.xml><?xml version="1.0" encoding="utf-8"?>
<formControlPr xmlns="http://schemas.microsoft.com/office/spreadsheetml/2009/9/main" objectType="CheckBox" fmlaLink="C76" lockText="1" noThreeD="1"/>
</file>

<file path=xl/ctrlProps/ctrlProp415.xml><?xml version="1.0" encoding="utf-8"?>
<formControlPr xmlns="http://schemas.microsoft.com/office/spreadsheetml/2009/9/main" objectType="CheckBox" fmlaLink="D76" lockText="1" noThreeD="1"/>
</file>

<file path=xl/ctrlProps/ctrlProp416.xml><?xml version="1.0" encoding="utf-8"?>
<formControlPr xmlns="http://schemas.microsoft.com/office/spreadsheetml/2009/9/main" objectType="CheckBox" fmlaLink="E76" lockText="1" noThreeD="1"/>
</file>

<file path=xl/ctrlProps/ctrlProp417.xml><?xml version="1.0" encoding="utf-8"?>
<formControlPr xmlns="http://schemas.microsoft.com/office/spreadsheetml/2009/9/main" objectType="CheckBox" fmlaLink="F76" lockText="1" noThreeD="1"/>
</file>

<file path=xl/ctrlProps/ctrlProp418.xml><?xml version="1.0" encoding="utf-8"?>
<formControlPr xmlns="http://schemas.microsoft.com/office/spreadsheetml/2009/9/main" objectType="CheckBox" fmlaLink="G76" lockText="1" noThreeD="1"/>
</file>

<file path=xl/ctrlProps/ctrlProp419.xml><?xml version="1.0" encoding="utf-8"?>
<formControlPr xmlns="http://schemas.microsoft.com/office/spreadsheetml/2009/9/main" objectType="CheckBox" checked="Checked" fmlaLink="H76" lockText="1" noThreeD="1"/>
</file>

<file path=xl/ctrlProps/ctrlProp420.xml><?xml version="1.0" encoding="utf-8"?>
<formControlPr xmlns="http://schemas.microsoft.com/office/spreadsheetml/2009/9/main" objectType="CheckBox" fmlaLink="I76" lockText="1" noThreeD="1"/>
</file>

<file path=xl/ctrlProps/ctrlProp421.xml><?xml version="1.0" encoding="utf-8"?>
<formControlPr xmlns="http://schemas.microsoft.com/office/spreadsheetml/2009/9/main" objectType="CheckBox" fmlaLink="C78" lockText="1" noThreeD="1"/>
</file>

<file path=xl/ctrlProps/ctrlProp422.xml><?xml version="1.0" encoding="utf-8"?>
<formControlPr xmlns="http://schemas.microsoft.com/office/spreadsheetml/2009/9/main" objectType="CheckBox" fmlaLink="D78" lockText="1" noThreeD="1"/>
</file>

<file path=xl/ctrlProps/ctrlProp423.xml><?xml version="1.0" encoding="utf-8"?>
<formControlPr xmlns="http://schemas.microsoft.com/office/spreadsheetml/2009/9/main" objectType="CheckBox" fmlaLink="E78" lockText="1" noThreeD="1"/>
</file>

<file path=xl/ctrlProps/ctrlProp424.xml><?xml version="1.0" encoding="utf-8"?>
<formControlPr xmlns="http://schemas.microsoft.com/office/spreadsheetml/2009/9/main" objectType="CheckBox" fmlaLink="F78" lockText="1" noThreeD="1"/>
</file>

<file path=xl/ctrlProps/ctrlProp425.xml><?xml version="1.0" encoding="utf-8"?>
<formControlPr xmlns="http://schemas.microsoft.com/office/spreadsheetml/2009/9/main" objectType="CheckBox" fmlaLink="G78" lockText="1" noThreeD="1"/>
</file>

<file path=xl/ctrlProps/ctrlProp426.xml><?xml version="1.0" encoding="utf-8"?>
<formControlPr xmlns="http://schemas.microsoft.com/office/spreadsheetml/2009/9/main" objectType="CheckBox" fmlaLink="H78" lockText="1" noThreeD="1"/>
</file>

<file path=xl/ctrlProps/ctrlProp427.xml><?xml version="1.0" encoding="utf-8"?>
<formControlPr xmlns="http://schemas.microsoft.com/office/spreadsheetml/2009/9/main" objectType="CheckBox" fmlaLink="I78" lockText="1" noThreeD="1"/>
</file>

<file path=xl/ctrlProps/ctrlProp428.xml><?xml version="1.0" encoding="utf-8"?>
<formControlPr xmlns="http://schemas.microsoft.com/office/spreadsheetml/2009/9/main" objectType="CheckBox" checked="Checked" fmlaLink="C79" lockText="1" noThreeD="1"/>
</file>

<file path=xl/ctrlProps/ctrlProp429.xml><?xml version="1.0" encoding="utf-8"?>
<formControlPr xmlns="http://schemas.microsoft.com/office/spreadsheetml/2009/9/main" objectType="CheckBox" fmlaLink="D79" lockText="1" noThreeD="1"/>
</file>

<file path=xl/ctrlProps/ctrlProp430.xml><?xml version="1.0" encoding="utf-8"?>
<formControlPr xmlns="http://schemas.microsoft.com/office/spreadsheetml/2009/9/main" objectType="CheckBox" fmlaLink="E79" lockText="1" noThreeD="1"/>
</file>

<file path=xl/ctrlProps/ctrlProp431.xml><?xml version="1.0" encoding="utf-8"?>
<formControlPr xmlns="http://schemas.microsoft.com/office/spreadsheetml/2009/9/main" objectType="CheckBox" checked="Checked" fmlaLink="F79" lockText="1" noThreeD="1"/>
</file>

<file path=xl/ctrlProps/ctrlProp432.xml><?xml version="1.0" encoding="utf-8"?>
<formControlPr xmlns="http://schemas.microsoft.com/office/spreadsheetml/2009/9/main" objectType="CheckBox" fmlaLink="G79" lockText="1" noThreeD="1"/>
</file>

<file path=xl/ctrlProps/ctrlProp433.xml><?xml version="1.0" encoding="utf-8"?>
<formControlPr xmlns="http://schemas.microsoft.com/office/spreadsheetml/2009/9/main" objectType="CheckBox" fmlaLink="H79" lockText="1" noThreeD="1"/>
</file>

<file path=xl/ctrlProps/ctrlProp434.xml><?xml version="1.0" encoding="utf-8"?>
<formControlPr xmlns="http://schemas.microsoft.com/office/spreadsheetml/2009/9/main" objectType="CheckBox" fmlaLink="I79" lockText="1" noThreeD="1"/>
</file>

<file path=xl/ctrlProps/ctrlProp435.xml><?xml version="1.0" encoding="utf-8"?>
<formControlPr xmlns="http://schemas.microsoft.com/office/spreadsheetml/2009/9/main" objectType="CheckBox" checked="Checked" fmlaLink="C80" lockText="1" noThreeD="1"/>
</file>

<file path=xl/ctrlProps/ctrlProp436.xml><?xml version="1.0" encoding="utf-8"?>
<formControlPr xmlns="http://schemas.microsoft.com/office/spreadsheetml/2009/9/main" objectType="CheckBox" fmlaLink="D80" lockText="1" noThreeD="1"/>
</file>

<file path=xl/ctrlProps/ctrlProp437.xml><?xml version="1.0" encoding="utf-8"?>
<formControlPr xmlns="http://schemas.microsoft.com/office/spreadsheetml/2009/9/main" objectType="CheckBox" fmlaLink="E80" lockText="1" noThreeD="1"/>
</file>

<file path=xl/ctrlProps/ctrlProp438.xml><?xml version="1.0" encoding="utf-8"?>
<formControlPr xmlns="http://schemas.microsoft.com/office/spreadsheetml/2009/9/main" objectType="CheckBox" checked="Checked" fmlaLink="F80" lockText="1" noThreeD="1"/>
</file>

<file path=xl/ctrlProps/ctrlProp439.xml><?xml version="1.0" encoding="utf-8"?>
<formControlPr xmlns="http://schemas.microsoft.com/office/spreadsheetml/2009/9/main" objectType="CheckBox" fmlaLink="G80" lockText="1" noThreeD="1"/>
</file>

<file path=xl/ctrlProps/ctrlProp440.xml><?xml version="1.0" encoding="utf-8"?>
<formControlPr xmlns="http://schemas.microsoft.com/office/spreadsheetml/2009/9/main" objectType="CheckBox" fmlaLink="H80" lockText="1" noThreeD="1"/>
</file>

<file path=xl/ctrlProps/ctrlProp441.xml><?xml version="1.0" encoding="utf-8"?>
<formControlPr xmlns="http://schemas.microsoft.com/office/spreadsheetml/2009/9/main" objectType="CheckBox" fmlaLink="I80" lockText="1" noThreeD="1"/>
</file>

<file path=xl/ctrlProps/ctrlProp442.xml><?xml version="1.0" encoding="utf-8"?>
<formControlPr xmlns="http://schemas.microsoft.com/office/spreadsheetml/2009/9/main" objectType="CheckBox" fmlaLink="C81" lockText="1" noThreeD="1"/>
</file>

<file path=xl/ctrlProps/ctrlProp443.xml><?xml version="1.0" encoding="utf-8"?>
<formControlPr xmlns="http://schemas.microsoft.com/office/spreadsheetml/2009/9/main" objectType="CheckBox" checked="Checked" fmlaLink="D81" lockText="1" noThreeD="1"/>
</file>

<file path=xl/ctrlProps/ctrlProp444.xml><?xml version="1.0" encoding="utf-8"?>
<formControlPr xmlns="http://schemas.microsoft.com/office/spreadsheetml/2009/9/main" objectType="CheckBox" fmlaLink="E81" lockText="1" noThreeD="1"/>
</file>

<file path=xl/ctrlProps/ctrlProp445.xml><?xml version="1.0" encoding="utf-8"?>
<formControlPr xmlns="http://schemas.microsoft.com/office/spreadsheetml/2009/9/main" objectType="CheckBox" checked="Checked" fmlaLink="F81" lockText="1" noThreeD="1"/>
</file>

<file path=xl/ctrlProps/ctrlProp446.xml><?xml version="1.0" encoding="utf-8"?>
<formControlPr xmlns="http://schemas.microsoft.com/office/spreadsheetml/2009/9/main" objectType="CheckBox" fmlaLink="G81" lockText="1" noThreeD="1"/>
</file>

<file path=xl/ctrlProps/ctrlProp447.xml><?xml version="1.0" encoding="utf-8"?>
<formControlPr xmlns="http://schemas.microsoft.com/office/spreadsheetml/2009/9/main" objectType="CheckBox" fmlaLink="H81" lockText="1" noThreeD="1"/>
</file>

<file path=xl/ctrlProps/ctrlProp448.xml><?xml version="1.0" encoding="utf-8"?>
<formControlPr xmlns="http://schemas.microsoft.com/office/spreadsheetml/2009/9/main" objectType="CheckBox" fmlaLink="I81" lockText="1" noThreeD="1"/>
</file>

<file path=xl/ctrlProps/ctrlProp449.xml><?xml version="1.0" encoding="utf-8"?>
<formControlPr xmlns="http://schemas.microsoft.com/office/spreadsheetml/2009/9/main" objectType="CheckBox" fmlaLink="C82" lockText="1" noThreeD="1"/>
</file>

<file path=xl/ctrlProps/ctrlProp450.xml><?xml version="1.0" encoding="utf-8"?>
<formControlPr xmlns="http://schemas.microsoft.com/office/spreadsheetml/2009/9/main" objectType="CheckBox" fmlaLink="D82" lockText="1" noThreeD="1"/>
</file>

<file path=xl/ctrlProps/ctrlProp451.xml><?xml version="1.0" encoding="utf-8"?>
<formControlPr xmlns="http://schemas.microsoft.com/office/spreadsheetml/2009/9/main" objectType="CheckBox" fmlaLink="E82" lockText="1" noThreeD="1"/>
</file>

<file path=xl/ctrlProps/ctrlProp452.xml><?xml version="1.0" encoding="utf-8"?>
<formControlPr xmlns="http://schemas.microsoft.com/office/spreadsheetml/2009/9/main" objectType="CheckBox" fmlaLink="F82" lockText="1" noThreeD="1"/>
</file>

<file path=xl/ctrlProps/ctrlProp453.xml><?xml version="1.0" encoding="utf-8"?>
<formControlPr xmlns="http://schemas.microsoft.com/office/spreadsheetml/2009/9/main" objectType="CheckBox" fmlaLink="G82" lockText="1" noThreeD="1"/>
</file>

<file path=xl/ctrlProps/ctrlProp454.xml><?xml version="1.0" encoding="utf-8"?>
<formControlPr xmlns="http://schemas.microsoft.com/office/spreadsheetml/2009/9/main" objectType="CheckBox" checked="Checked" fmlaLink="H82" lockText="1" noThreeD="1"/>
</file>

<file path=xl/ctrlProps/ctrlProp455.xml><?xml version="1.0" encoding="utf-8"?>
<formControlPr xmlns="http://schemas.microsoft.com/office/spreadsheetml/2009/9/main" objectType="CheckBox" fmlaLink="I82" lockText="1" noThreeD="1"/>
</file>

<file path=xl/ctrlProps/ctrlProp456.xml><?xml version="1.0" encoding="utf-8"?>
<formControlPr xmlns="http://schemas.microsoft.com/office/spreadsheetml/2009/9/main" objectType="CheckBox" fmlaLink="C84" lockText="1" noThreeD="1"/>
</file>

<file path=xl/ctrlProps/ctrlProp457.xml><?xml version="1.0" encoding="utf-8"?>
<formControlPr xmlns="http://schemas.microsoft.com/office/spreadsheetml/2009/9/main" objectType="CheckBox" fmlaLink="D84" lockText="1" noThreeD="1"/>
</file>

<file path=xl/ctrlProps/ctrlProp458.xml><?xml version="1.0" encoding="utf-8"?>
<formControlPr xmlns="http://schemas.microsoft.com/office/spreadsheetml/2009/9/main" objectType="CheckBox" fmlaLink="E84" lockText="1" noThreeD="1"/>
</file>

<file path=xl/ctrlProps/ctrlProp459.xml><?xml version="1.0" encoding="utf-8"?>
<formControlPr xmlns="http://schemas.microsoft.com/office/spreadsheetml/2009/9/main" objectType="CheckBox" fmlaLink="F84" lockText="1" noThreeD="1"/>
</file>

<file path=xl/ctrlProps/ctrlProp460.xml><?xml version="1.0" encoding="utf-8"?>
<formControlPr xmlns="http://schemas.microsoft.com/office/spreadsheetml/2009/9/main" objectType="CheckBox" fmlaLink="G84" lockText="1" noThreeD="1"/>
</file>

<file path=xl/ctrlProps/ctrlProp461.xml><?xml version="1.0" encoding="utf-8"?>
<formControlPr xmlns="http://schemas.microsoft.com/office/spreadsheetml/2009/9/main" objectType="CheckBox" fmlaLink="H84" lockText="1" noThreeD="1"/>
</file>

<file path=xl/ctrlProps/ctrlProp462.xml><?xml version="1.0" encoding="utf-8"?>
<formControlPr xmlns="http://schemas.microsoft.com/office/spreadsheetml/2009/9/main" objectType="CheckBox" fmlaLink="I84" lockText="1" noThreeD="1"/>
</file>

<file path=xl/ctrlProps/ctrlProp463.xml><?xml version="1.0" encoding="utf-8"?>
<formControlPr xmlns="http://schemas.microsoft.com/office/spreadsheetml/2009/9/main" objectType="CheckBox" fmlaLink="C85" lockText="1" noThreeD="1"/>
</file>

<file path=xl/ctrlProps/ctrlProp464.xml><?xml version="1.0" encoding="utf-8"?>
<formControlPr xmlns="http://schemas.microsoft.com/office/spreadsheetml/2009/9/main" objectType="CheckBox" fmlaLink="D85" lockText="1" noThreeD="1"/>
</file>

<file path=xl/ctrlProps/ctrlProp465.xml><?xml version="1.0" encoding="utf-8"?>
<formControlPr xmlns="http://schemas.microsoft.com/office/spreadsheetml/2009/9/main" objectType="CheckBox" fmlaLink="E85" lockText="1" noThreeD="1"/>
</file>

<file path=xl/ctrlProps/ctrlProp466.xml><?xml version="1.0" encoding="utf-8"?>
<formControlPr xmlns="http://schemas.microsoft.com/office/spreadsheetml/2009/9/main" objectType="CheckBox" fmlaLink="F85" lockText="1" noThreeD="1"/>
</file>

<file path=xl/ctrlProps/ctrlProp467.xml><?xml version="1.0" encoding="utf-8"?>
<formControlPr xmlns="http://schemas.microsoft.com/office/spreadsheetml/2009/9/main" objectType="CheckBox" checked="Checked" fmlaLink="G85" lockText="1" noThreeD="1"/>
</file>

<file path=xl/ctrlProps/ctrlProp468.xml><?xml version="1.0" encoding="utf-8"?>
<formControlPr xmlns="http://schemas.microsoft.com/office/spreadsheetml/2009/9/main" objectType="CheckBox" fmlaLink="H85" lockText="1" noThreeD="1"/>
</file>

<file path=xl/ctrlProps/ctrlProp469.xml><?xml version="1.0" encoding="utf-8"?>
<formControlPr xmlns="http://schemas.microsoft.com/office/spreadsheetml/2009/9/main" objectType="CheckBox" fmlaLink="I85" lockText="1" noThreeD="1"/>
</file>

<file path=xl/ctrlProps/ctrlProp470.xml><?xml version="1.0" encoding="utf-8"?>
<formControlPr xmlns="http://schemas.microsoft.com/office/spreadsheetml/2009/9/main" objectType="CheckBox" fmlaLink="C86" lockText="1" noThreeD="1"/>
</file>

<file path=xl/ctrlProps/ctrlProp471.xml><?xml version="1.0" encoding="utf-8"?>
<formControlPr xmlns="http://schemas.microsoft.com/office/spreadsheetml/2009/9/main" objectType="CheckBox" fmlaLink="D86" lockText="1" noThreeD="1"/>
</file>

<file path=xl/ctrlProps/ctrlProp472.xml><?xml version="1.0" encoding="utf-8"?>
<formControlPr xmlns="http://schemas.microsoft.com/office/spreadsheetml/2009/9/main" objectType="CheckBox" fmlaLink="E86" lockText="1" noThreeD="1"/>
</file>

<file path=xl/ctrlProps/ctrlProp473.xml><?xml version="1.0" encoding="utf-8"?>
<formControlPr xmlns="http://schemas.microsoft.com/office/spreadsheetml/2009/9/main" objectType="CheckBox" fmlaLink="F86" lockText="1" noThreeD="1"/>
</file>

<file path=xl/ctrlProps/ctrlProp474.xml><?xml version="1.0" encoding="utf-8"?>
<formControlPr xmlns="http://schemas.microsoft.com/office/spreadsheetml/2009/9/main" objectType="CheckBox" checked="Checked" fmlaLink="G86" lockText="1" noThreeD="1"/>
</file>

<file path=xl/ctrlProps/ctrlProp475.xml><?xml version="1.0" encoding="utf-8"?>
<formControlPr xmlns="http://schemas.microsoft.com/office/spreadsheetml/2009/9/main" objectType="CheckBox" fmlaLink="H86" lockText="1" noThreeD="1"/>
</file>

<file path=xl/ctrlProps/ctrlProp476.xml><?xml version="1.0" encoding="utf-8"?>
<formControlPr xmlns="http://schemas.microsoft.com/office/spreadsheetml/2009/9/main" objectType="CheckBox" fmlaLink="I86" lockText="1" noThreeD="1"/>
</file>

<file path=xl/ctrlProps/ctrlProp477.xml><?xml version="1.0" encoding="utf-8"?>
<formControlPr xmlns="http://schemas.microsoft.com/office/spreadsheetml/2009/9/main" objectType="CheckBox" fmlaLink="C87" lockText="1" noThreeD="1"/>
</file>

<file path=xl/ctrlProps/ctrlProp478.xml><?xml version="1.0" encoding="utf-8"?>
<formControlPr xmlns="http://schemas.microsoft.com/office/spreadsheetml/2009/9/main" objectType="CheckBox" checked="Checked" fmlaLink="D87" lockText="1" noThreeD="1"/>
</file>

<file path=xl/ctrlProps/ctrlProp479.xml><?xml version="1.0" encoding="utf-8"?>
<formControlPr xmlns="http://schemas.microsoft.com/office/spreadsheetml/2009/9/main" objectType="CheckBox" fmlaLink="E87" lockText="1" noThreeD="1"/>
</file>

<file path=xl/ctrlProps/ctrlProp480.xml><?xml version="1.0" encoding="utf-8"?>
<formControlPr xmlns="http://schemas.microsoft.com/office/spreadsheetml/2009/9/main" objectType="CheckBox" checked="Checked" fmlaLink="F87" lockText="1" noThreeD="1"/>
</file>

<file path=xl/ctrlProps/ctrlProp481.xml><?xml version="1.0" encoding="utf-8"?>
<formControlPr xmlns="http://schemas.microsoft.com/office/spreadsheetml/2009/9/main" objectType="CheckBox" checked="Checked" fmlaLink="G87" lockText="1" noThreeD="1"/>
</file>

<file path=xl/ctrlProps/ctrlProp482.xml><?xml version="1.0" encoding="utf-8"?>
<formControlPr xmlns="http://schemas.microsoft.com/office/spreadsheetml/2009/9/main" objectType="CheckBox" fmlaLink="H87" lockText="1" noThreeD="1"/>
</file>

<file path=xl/ctrlProps/ctrlProp483.xml><?xml version="1.0" encoding="utf-8"?>
<formControlPr xmlns="http://schemas.microsoft.com/office/spreadsheetml/2009/9/main" objectType="CheckBox" fmlaLink="I87" lockText="1" noThreeD="1"/>
</file>

<file path=xl/ctrlProps/ctrlProp484.xml><?xml version="1.0" encoding="utf-8"?>
<formControlPr xmlns="http://schemas.microsoft.com/office/spreadsheetml/2009/9/main" objectType="CheckBox" fmlaLink="C88" lockText="1" noThreeD="1"/>
</file>

<file path=xl/ctrlProps/ctrlProp485.xml><?xml version="1.0" encoding="utf-8"?>
<formControlPr xmlns="http://schemas.microsoft.com/office/spreadsheetml/2009/9/main" objectType="CheckBox" fmlaLink="D88" lockText="1" noThreeD="1"/>
</file>

<file path=xl/ctrlProps/ctrlProp486.xml><?xml version="1.0" encoding="utf-8"?>
<formControlPr xmlns="http://schemas.microsoft.com/office/spreadsheetml/2009/9/main" objectType="CheckBox" fmlaLink="E88" lockText="1" noThreeD="1"/>
</file>

<file path=xl/ctrlProps/ctrlProp487.xml><?xml version="1.0" encoding="utf-8"?>
<formControlPr xmlns="http://schemas.microsoft.com/office/spreadsheetml/2009/9/main" objectType="CheckBox" fmlaLink="F88" lockText="1" noThreeD="1"/>
</file>

<file path=xl/ctrlProps/ctrlProp488.xml><?xml version="1.0" encoding="utf-8"?>
<formControlPr xmlns="http://schemas.microsoft.com/office/spreadsheetml/2009/9/main" objectType="CheckBox" fmlaLink="G88" lockText="1" noThreeD="1"/>
</file>

<file path=xl/ctrlProps/ctrlProp489.xml><?xml version="1.0" encoding="utf-8"?>
<formControlPr xmlns="http://schemas.microsoft.com/office/spreadsheetml/2009/9/main" objectType="CheckBox" checked="Checked" fmlaLink="H88" lockText="1" noThreeD="1"/>
</file>

<file path=xl/ctrlProps/ctrlProp490.xml><?xml version="1.0" encoding="utf-8"?>
<formControlPr xmlns="http://schemas.microsoft.com/office/spreadsheetml/2009/9/main" objectType="CheckBox" fmlaLink="I88" lockText="1" noThreeD="1"/>
</file>

<file path=xl/drawings/_rels/drawing1.xml.rels><?xml version="1.0" encoding="UTF-8" standalone="yes"?>
<Relationships xmlns="http://schemas.openxmlformats.org/package/2006/relationships"><Relationship Id="rId1" Type="http://schemas.openxmlformats.org/officeDocument/2006/relationships/hyperlink" Target="file:///C:\Users\LeoNa\Downloads\excelAutomation\EnviarProgramadosManual.cmd" TargetMode="External"/></Relationships>
</file>

<file path=xl/drawings/drawing1.xml><?xml version="1.0" encoding="utf-8"?>
<xdr:wsDr xmlns:xdr="http://schemas.openxmlformats.org/drawingml/2006/spreadsheetDrawing" xmlns:a="http://schemas.openxmlformats.org/drawingml/2006/main">
  <xdr:twoCellAnchor>
    <xdr:from>
      <xdr:col>9</xdr:col>
      <xdr:colOff>4019550</xdr:colOff>
      <xdr:row>1</xdr:row>
      <xdr:rowOff>25400</xdr:rowOff>
    </xdr:from>
    <xdr:to>
      <xdr:col>10</xdr:col>
      <xdr:colOff>984250</xdr:colOff>
      <xdr:row>2</xdr:row>
      <xdr:rowOff>146050</xdr:rowOff>
    </xdr:to>
    <xdr:sp macro="" textlink="">
      <xdr:nvSpPr>
        <xdr:cNvPr id="2" name="btnEnviarManualProgramados">
          <a:hlinkClick xmlns:r="http://schemas.openxmlformats.org/officeDocument/2006/relationships" r:id="rId1" tooltip="Ejecutar envío manual"/>
          <a:extLst>
            <a:ext uri="{FF2B5EF4-FFF2-40B4-BE49-F238E27FC236}">
              <a16:creationId xmlns:a16="http://schemas.microsoft.com/office/drawing/2014/main" id="{671EF7B4-E877-AF31-E9F7-CBD9F5F70CAF}"/>
            </a:ext>
          </a:extLst>
        </xdr:cNvPr>
        <xdr:cNvSpPr/>
      </xdr:nvSpPr>
      <xdr:spPr>
        <a:xfrm>
          <a:off x="18808700" y="482600"/>
          <a:ext cx="2317750" cy="552450"/>
        </a:xfrm>
        <a:prstGeom prst="roundRect">
          <a:avLst/>
        </a:prstGeom>
        <a:solidFill>
          <a:srgbClr val="147878"/>
        </a:solidFill>
        <a:ln>
          <a:solidFill>
            <a:srgbClr val="1478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rgbClr val="FFFFFF"/>
              </a:solidFill>
            </a:rPr>
            <a:t>Click</a:t>
          </a:r>
          <a:r>
            <a:rPr lang="en-CA" sz="1200" b="1" baseline="0">
              <a:solidFill>
                <a:srgbClr val="FFFFFF"/>
              </a:solidFill>
            </a:rPr>
            <a:t> aqui para enviar </a:t>
          </a:r>
          <a:r>
            <a:rPr lang="en-CA" sz="1200" b="1">
              <a:solidFill>
                <a:srgbClr val="FFFFFF"/>
              </a:solidFill>
            </a:rPr>
            <a:t>mensajes manuales</a:t>
          </a:r>
        </a:p>
      </xdr:txBody>
    </xdr:sp>
    <xdr:clientData fLocksWithSheet="0"/>
  </xdr:twoCellAnchor>
  <mc:AlternateContent xmlns:mc="http://schemas.openxmlformats.org/markup-compatibility/2006">
    <mc:Choice xmlns:a14="http://schemas.microsoft.com/office/drawing/2010/main" Requires="a14">
      <xdr:twoCellAnchor editAs="oneCell">
        <xdr:from>
          <xdr:col>2</xdr:col>
          <xdr:colOff>88900</xdr:colOff>
          <xdr:row>5</xdr:row>
          <xdr:rowOff>63500</xdr:rowOff>
        </xdr:from>
        <xdr:to>
          <xdr:col>2</xdr:col>
          <xdr:colOff>285750</xdr:colOff>
          <xdr:row>5</xdr:row>
          <xdr:rowOff>279400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xdr:row>
          <xdr:rowOff>63500</xdr:rowOff>
        </xdr:from>
        <xdr:to>
          <xdr:col>3</xdr:col>
          <xdr:colOff>285750</xdr:colOff>
          <xdr:row>5</xdr:row>
          <xdr:rowOff>279400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xdr:row>
          <xdr:rowOff>63500</xdr:rowOff>
        </xdr:from>
        <xdr:to>
          <xdr:col>4</xdr:col>
          <xdr:colOff>285750</xdr:colOff>
          <xdr:row>5</xdr:row>
          <xdr:rowOff>279400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xdr:row>
          <xdr:rowOff>63500</xdr:rowOff>
        </xdr:from>
        <xdr:to>
          <xdr:col>5</xdr:col>
          <xdr:colOff>285750</xdr:colOff>
          <xdr:row>5</xdr:row>
          <xdr:rowOff>279400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xdr:row>
          <xdr:rowOff>63500</xdr:rowOff>
        </xdr:from>
        <xdr:to>
          <xdr:col>6</xdr:col>
          <xdr:colOff>285750</xdr:colOff>
          <xdr:row>5</xdr:row>
          <xdr:rowOff>279400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xdr:row>
          <xdr:rowOff>63500</xdr:rowOff>
        </xdr:from>
        <xdr:to>
          <xdr:col>7</xdr:col>
          <xdr:colOff>285750</xdr:colOff>
          <xdr:row>5</xdr:row>
          <xdr:rowOff>279400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xdr:row>
          <xdr:rowOff>63500</xdr:rowOff>
        </xdr:from>
        <xdr:to>
          <xdr:col>8</xdr:col>
          <xdr:colOff>285750</xdr:colOff>
          <xdr:row>5</xdr:row>
          <xdr:rowOff>279400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xdr:row>
          <xdr:rowOff>63500</xdr:rowOff>
        </xdr:from>
        <xdr:to>
          <xdr:col>2</xdr:col>
          <xdr:colOff>285750</xdr:colOff>
          <xdr:row>6</xdr:row>
          <xdr:rowOff>279400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xdr:row>
          <xdr:rowOff>63500</xdr:rowOff>
        </xdr:from>
        <xdr:to>
          <xdr:col>3</xdr:col>
          <xdr:colOff>285750</xdr:colOff>
          <xdr:row>6</xdr:row>
          <xdr:rowOff>279400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xdr:row>
          <xdr:rowOff>63500</xdr:rowOff>
        </xdr:from>
        <xdr:to>
          <xdr:col>4</xdr:col>
          <xdr:colOff>285750</xdr:colOff>
          <xdr:row>6</xdr:row>
          <xdr:rowOff>279400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xdr:row>
          <xdr:rowOff>63500</xdr:rowOff>
        </xdr:from>
        <xdr:to>
          <xdr:col>5</xdr:col>
          <xdr:colOff>285750</xdr:colOff>
          <xdr:row>6</xdr:row>
          <xdr:rowOff>279400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xdr:row>
          <xdr:rowOff>63500</xdr:rowOff>
        </xdr:from>
        <xdr:to>
          <xdr:col>6</xdr:col>
          <xdr:colOff>285750</xdr:colOff>
          <xdr:row>6</xdr:row>
          <xdr:rowOff>279400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xdr:row>
          <xdr:rowOff>63500</xdr:rowOff>
        </xdr:from>
        <xdr:to>
          <xdr:col>7</xdr:col>
          <xdr:colOff>285750</xdr:colOff>
          <xdr:row>6</xdr:row>
          <xdr:rowOff>279400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xdr:row>
          <xdr:rowOff>63500</xdr:rowOff>
        </xdr:from>
        <xdr:to>
          <xdr:col>8</xdr:col>
          <xdr:colOff>285750</xdr:colOff>
          <xdr:row>6</xdr:row>
          <xdr:rowOff>279400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xdr:row>
          <xdr:rowOff>63500</xdr:rowOff>
        </xdr:from>
        <xdr:to>
          <xdr:col>2</xdr:col>
          <xdr:colOff>285750</xdr:colOff>
          <xdr:row>7</xdr:row>
          <xdr:rowOff>279400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xdr:row>
          <xdr:rowOff>63500</xdr:rowOff>
        </xdr:from>
        <xdr:to>
          <xdr:col>3</xdr:col>
          <xdr:colOff>285750</xdr:colOff>
          <xdr:row>7</xdr:row>
          <xdr:rowOff>279400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xdr:row>
          <xdr:rowOff>63500</xdr:rowOff>
        </xdr:from>
        <xdr:to>
          <xdr:col>4</xdr:col>
          <xdr:colOff>285750</xdr:colOff>
          <xdr:row>7</xdr:row>
          <xdr:rowOff>279400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xdr:row>
          <xdr:rowOff>63500</xdr:rowOff>
        </xdr:from>
        <xdr:to>
          <xdr:col>5</xdr:col>
          <xdr:colOff>285750</xdr:colOff>
          <xdr:row>7</xdr:row>
          <xdr:rowOff>279400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xdr:row>
          <xdr:rowOff>63500</xdr:rowOff>
        </xdr:from>
        <xdr:to>
          <xdr:col>6</xdr:col>
          <xdr:colOff>285750</xdr:colOff>
          <xdr:row>7</xdr:row>
          <xdr:rowOff>279400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xdr:row>
          <xdr:rowOff>63500</xdr:rowOff>
        </xdr:from>
        <xdr:to>
          <xdr:col>7</xdr:col>
          <xdr:colOff>285750</xdr:colOff>
          <xdr:row>7</xdr:row>
          <xdr:rowOff>279400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xdr:row>
          <xdr:rowOff>63500</xdr:rowOff>
        </xdr:from>
        <xdr:to>
          <xdr:col>8</xdr:col>
          <xdr:colOff>285750</xdr:colOff>
          <xdr:row>7</xdr:row>
          <xdr:rowOff>279400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xdr:row>
          <xdr:rowOff>63500</xdr:rowOff>
        </xdr:from>
        <xdr:to>
          <xdr:col>2</xdr:col>
          <xdr:colOff>285750</xdr:colOff>
          <xdr:row>8</xdr:row>
          <xdr:rowOff>279400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xdr:row>
          <xdr:rowOff>63500</xdr:rowOff>
        </xdr:from>
        <xdr:to>
          <xdr:col>3</xdr:col>
          <xdr:colOff>285750</xdr:colOff>
          <xdr:row>8</xdr:row>
          <xdr:rowOff>279400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xdr:row>
          <xdr:rowOff>63500</xdr:rowOff>
        </xdr:from>
        <xdr:to>
          <xdr:col>4</xdr:col>
          <xdr:colOff>285750</xdr:colOff>
          <xdr:row>8</xdr:row>
          <xdr:rowOff>279400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xdr:row>
          <xdr:rowOff>63500</xdr:rowOff>
        </xdr:from>
        <xdr:to>
          <xdr:col>5</xdr:col>
          <xdr:colOff>285750</xdr:colOff>
          <xdr:row>8</xdr:row>
          <xdr:rowOff>279400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xdr:row>
          <xdr:rowOff>63500</xdr:rowOff>
        </xdr:from>
        <xdr:to>
          <xdr:col>6</xdr:col>
          <xdr:colOff>285750</xdr:colOff>
          <xdr:row>8</xdr:row>
          <xdr:rowOff>279400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xdr:row>
          <xdr:rowOff>63500</xdr:rowOff>
        </xdr:from>
        <xdr:to>
          <xdr:col>7</xdr:col>
          <xdr:colOff>285750</xdr:colOff>
          <xdr:row>8</xdr:row>
          <xdr:rowOff>279400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xdr:row>
          <xdr:rowOff>63500</xdr:rowOff>
        </xdr:from>
        <xdr:to>
          <xdr:col>8</xdr:col>
          <xdr:colOff>285750</xdr:colOff>
          <xdr:row>8</xdr:row>
          <xdr:rowOff>279400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9</xdr:row>
          <xdr:rowOff>63500</xdr:rowOff>
        </xdr:from>
        <xdr:to>
          <xdr:col>2</xdr:col>
          <xdr:colOff>285750</xdr:colOff>
          <xdr:row>9</xdr:row>
          <xdr:rowOff>279400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9</xdr:row>
          <xdr:rowOff>63500</xdr:rowOff>
        </xdr:from>
        <xdr:to>
          <xdr:col>3</xdr:col>
          <xdr:colOff>285750</xdr:colOff>
          <xdr:row>9</xdr:row>
          <xdr:rowOff>279400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9</xdr:row>
          <xdr:rowOff>63500</xdr:rowOff>
        </xdr:from>
        <xdr:to>
          <xdr:col>4</xdr:col>
          <xdr:colOff>285750</xdr:colOff>
          <xdr:row>9</xdr:row>
          <xdr:rowOff>279400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9</xdr:row>
          <xdr:rowOff>63500</xdr:rowOff>
        </xdr:from>
        <xdr:to>
          <xdr:col>5</xdr:col>
          <xdr:colOff>285750</xdr:colOff>
          <xdr:row>9</xdr:row>
          <xdr:rowOff>279400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9</xdr:row>
          <xdr:rowOff>63500</xdr:rowOff>
        </xdr:from>
        <xdr:to>
          <xdr:col>6</xdr:col>
          <xdr:colOff>285750</xdr:colOff>
          <xdr:row>9</xdr:row>
          <xdr:rowOff>279400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9</xdr:row>
          <xdr:rowOff>63500</xdr:rowOff>
        </xdr:from>
        <xdr:to>
          <xdr:col>7</xdr:col>
          <xdr:colOff>285750</xdr:colOff>
          <xdr:row>9</xdr:row>
          <xdr:rowOff>279400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9</xdr:row>
          <xdr:rowOff>63500</xdr:rowOff>
        </xdr:from>
        <xdr:to>
          <xdr:col>8</xdr:col>
          <xdr:colOff>285750</xdr:colOff>
          <xdr:row>9</xdr:row>
          <xdr:rowOff>279400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11</xdr:row>
          <xdr:rowOff>63500</xdr:rowOff>
        </xdr:from>
        <xdr:to>
          <xdr:col>2</xdr:col>
          <xdr:colOff>285750</xdr:colOff>
          <xdr:row>11</xdr:row>
          <xdr:rowOff>279400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11</xdr:row>
          <xdr:rowOff>63500</xdr:rowOff>
        </xdr:from>
        <xdr:to>
          <xdr:col>3</xdr:col>
          <xdr:colOff>285750</xdr:colOff>
          <xdr:row>11</xdr:row>
          <xdr:rowOff>279400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11</xdr:row>
          <xdr:rowOff>63500</xdr:rowOff>
        </xdr:from>
        <xdr:to>
          <xdr:col>4</xdr:col>
          <xdr:colOff>285750</xdr:colOff>
          <xdr:row>11</xdr:row>
          <xdr:rowOff>279400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11</xdr:row>
          <xdr:rowOff>63500</xdr:rowOff>
        </xdr:from>
        <xdr:to>
          <xdr:col>5</xdr:col>
          <xdr:colOff>285750</xdr:colOff>
          <xdr:row>11</xdr:row>
          <xdr:rowOff>279400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11</xdr:row>
          <xdr:rowOff>63500</xdr:rowOff>
        </xdr:from>
        <xdr:to>
          <xdr:col>6</xdr:col>
          <xdr:colOff>285750</xdr:colOff>
          <xdr:row>11</xdr:row>
          <xdr:rowOff>279400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11</xdr:row>
          <xdr:rowOff>63500</xdr:rowOff>
        </xdr:from>
        <xdr:to>
          <xdr:col>7</xdr:col>
          <xdr:colOff>285750</xdr:colOff>
          <xdr:row>11</xdr:row>
          <xdr:rowOff>279400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11</xdr:row>
          <xdr:rowOff>63500</xdr:rowOff>
        </xdr:from>
        <xdr:to>
          <xdr:col>8</xdr:col>
          <xdr:colOff>285750</xdr:colOff>
          <xdr:row>11</xdr:row>
          <xdr:rowOff>279400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12</xdr:row>
          <xdr:rowOff>63500</xdr:rowOff>
        </xdr:from>
        <xdr:to>
          <xdr:col>2</xdr:col>
          <xdr:colOff>285750</xdr:colOff>
          <xdr:row>12</xdr:row>
          <xdr:rowOff>279400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12</xdr:row>
          <xdr:rowOff>63500</xdr:rowOff>
        </xdr:from>
        <xdr:to>
          <xdr:col>3</xdr:col>
          <xdr:colOff>285750</xdr:colOff>
          <xdr:row>12</xdr:row>
          <xdr:rowOff>279400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12</xdr:row>
          <xdr:rowOff>63500</xdr:rowOff>
        </xdr:from>
        <xdr:to>
          <xdr:col>4</xdr:col>
          <xdr:colOff>285750</xdr:colOff>
          <xdr:row>12</xdr:row>
          <xdr:rowOff>279400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12</xdr:row>
          <xdr:rowOff>63500</xdr:rowOff>
        </xdr:from>
        <xdr:to>
          <xdr:col>5</xdr:col>
          <xdr:colOff>285750</xdr:colOff>
          <xdr:row>12</xdr:row>
          <xdr:rowOff>279400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12</xdr:row>
          <xdr:rowOff>63500</xdr:rowOff>
        </xdr:from>
        <xdr:to>
          <xdr:col>6</xdr:col>
          <xdr:colOff>285750</xdr:colOff>
          <xdr:row>12</xdr:row>
          <xdr:rowOff>279400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12</xdr:row>
          <xdr:rowOff>63500</xdr:rowOff>
        </xdr:from>
        <xdr:to>
          <xdr:col>7</xdr:col>
          <xdr:colOff>285750</xdr:colOff>
          <xdr:row>12</xdr:row>
          <xdr:rowOff>279400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12</xdr:row>
          <xdr:rowOff>63500</xdr:rowOff>
        </xdr:from>
        <xdr:to>
          <xdr:col>8</xdr:col>
          <xdr:colOff>285750</xdr:colOff>
          <xdr:row>12</xdr:row>
          <xdr:rowOff>279400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13</xdr:row>
          <xdr:rowOff>63500</xdr:rowOff>
        </xdr:from>
        <xdr:to>
          <xdr:col>2</xdr:col>
          <xdr:colOff>285750</xdr:colOff>
          <xdr:row>13</xdr:row>
          <xdr:rowOff>279400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13</xdr:row>
          <xdr:rowOff>63500</xdr:rowOff>
        </xdr:from>
        <xdr:to>
          <xdr:col>3</xdr:col>
          <xdr:colOff>285750</xdr:colOff>
          <xdr:row>13</xdr:row>
          <xdr:rowOff>279400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63500</xdr:rowOff>
        </xdr:from>
        <xdr:to>
          <xdr:col>4</xdr:col>
          <xdr:colOff>285750</xdr:colOff>
          <xdr:row>13</xdr:row>
          <xdr:rowOff>279400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13</xdr:row>
          <xdr:rowOff>63500</xdr:rowOff>
        </xdr:from>
        <xdr:to>
          <xdr:col>5</xdr:col>
          <xdr:colOff>285750</xdr:colOff>
          <xdr:row>13</xdr:row>
          <xdr:rowOff>279400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13</xdr:row>
          <xdr:rowOff>63500</xdr:rowOff>
        </xdr:from>
        <xdr:to>
          <xdr:col>6</xdr:col>
          <xdr:colOff>285750</xdr:colOff>
          <xdr:row>13</xdr:row>
          <xdr:rowOff>279400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13</xdr:row>
          <xdr:rowOff>63500</xdr:rowOff>
        </xdr:from>
        <xdr:to>
          <xdr:col>7</xdr:col>
          <xdr:colOff>285750</xdr:colOff>
          <xdr:row>13</xdr:row>
          <xdr:rowOff>279400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13</xdr:row>
          <xdr:rowOff>63500</xdr:rowOff>
        </xdr:from>
        <xdr:to>
          <xdr:col>8</xdr:col>
          <xdr:colOff>285750</xdr:colOff>
          <xdr:row>13</xdr:row>
          <xdr:rowOff>279400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14</xdr:row>
          <xdr:rowOff>63500</xdr:rowOff>
        </xdr:from>
        <xdr:to>
          <xdr:col>2</xdr:col>
          <xdr:colOff>285750</xdr:colOff>
          <xdr:row>14</xdr:row>
          <xdr:rowOff>279400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14</xdr:row>
          <xdr:rowOff>63500</xdr:rowOff>
        </xdr:from>
        <xdr:to>
          <xdr:col>3</xdr:col>
          <xdr:colOff>285750</xdr:colOff>
          <xdr:row>14</xdr:row>
          <xdr:rowOff>279400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14</xdr:row>
          <xdr:rowOff>63500</xdr:rowOff>
        </xdr:from>
        <xdr:to>
          <xdr:col>4</xdr:col>
          <xdr:colOff>285750</xdr:colOff>
          <xdr:row>14</xdr:row>
          <xdr:rowOff>279400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14</xdr:row>
          <xdr:rowOff>63500</xdr:rowOff>
        </xdr:from>
        <xdr:to>
          <xdr:col>5</xdr:col>
          <xdr:colOff>285750</xdr:colOff>
          <xdr:row>14</xdr:row>
          <xdr:rowOff>279400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14</xdr:row>
          <xdr:rowOff>63500</xdr:rowOff>
        </xdr:from>
        <xdr:to>
          <xdr:col>6</xdr:col>
          <xdr:colOff>285750</xdr:colOff>
          <xdr:row>14</xdr:row>
          <xdr:rowOff>279400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14</xdr:row>
          <xdr:rowOff>63500</xdr:rowOff>
        </xdr:from>
        <xdr:to>
          <xdr:col>7</xdr:col>
          <xdr:colOff>285750</xdr:colOff>
          <xdr:row>14</xdr:row>
          <xdr:rowOff>279400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14</xdr:row>
          <xdr:rowOff>63500</xdr:rowOff>
        </xdr:from>
        <xdr:to>
          <xdr:col>8</xdr:col>
          <xdr:colOff>285750</xdr:colOff>
          <xdr:row>14</xdr:row>
          <xdr:rowOff>279400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15</xdr:row>
          <xdr:rowOff>63500</xdr:rowOff>
        </xdr:from>
        <xdr:to>
          <xdr:col>2</xdr:col>
          <xdr:colOff>285750</xdr:colOff>
          <xdr:row>15</xdr:row>
          <xdr:rowOff>279400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15</xdr:row>
          <xdr:rowOff>63500</xdr:rowOff>
        </xdr:from>
        <xdr:to>
          <xdr:col>3</xdr:col>
          <xdr:colOff>285750</xdr:colOff>
          <xdr:row>15</xdr:row>
          <xdr:rowOff>279400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63500</xdr:rowOff>
        </xdr:from>
        <xdr:to>
          <xdr:col>4</xdr:col>
          <xdr:colOff>285750</xdr:colOff>
          <xdr:row>15</xdr:row>
          <xdr:rowOff>279400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15</xdr:row>
          <xdr:rowOff>63500</xdr:rowOff>
        </xdr:from>
        <xdr:to>
          <xdr:col>5</xdr:col>
          <xdr:colOff>285750</xdr:colOff>
          <xdr:row>15</xdr:row>
          <xdr:rowOff>279400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15</xdr:row>
          <xdr:rowOff>63500</xdr:rowOff>
        </xdr:from>
        <xdr:to>
          <xdr:col>6</xdr:col>
          <xdr:colOff>285750</xdr:colOff>
          <xdr:row>15</xdr:row>
          <xdr:rowOff>279400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15</xdr:row>
          <xdr:rowOff>63500</xdr:rowOff>
        </xdr:from>
        <xdr:to>
          <xdr:col>7</xdr:col>
          <xdr:colOff>285750</xdr:colOff>
          <xdr:row>15</xdr:row>
          <xdr:rowOff>279400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15</xdr:row>
          <xdr:rowOff>63500</xdr:rowOff>
        </xdr:from>
        <xdr:to>
          <xdr:col>8</xdr:col>
          <xdr:colOff>285750</xdr:colOff>
          <xdr:row>15</xdr:row>
          <xdr:rowOff>279400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17</xdr:row>
          <xdr:rowOff>63500</xdr:rowOff>
        </xdr:from>
        <xdr:to>
          <xdr:col>2</xdr:col>
          <xdr:colOff>285750</xdr:colOff>
          <xdr:row>17</xdr:row>
          <xdr:rowOff>279400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17</xdr:row>
          <xdr:rowOff>63500</xdr:rowOff>
        </xdr:from>
        <xdr:to>
          <xdr:col>3</xdr:col>
          <xdr:colOff>285750</xdr:colOff>
          <xdr:row>17</xdr:row>
          <xdr:rowOff>279400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17</xdr:row>
          <xdr:rowOff>63500</xdr:rowOff>
        </xdr:from>
        <xdr:to>
          <xdr:col>4</xdr:col>
          <xdr:colOff>285750</xdr:colOff>
          <xdr:row>17</xdr:row>
          <xdr:rowOff>279400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17</xdr:row>
          <xdr:rowOff>63500</xdr:rowOff>
        </xdr:from>
        <xdr:to>
          <xdr:col>5</xdr:col>
          <xdr:colOff>285750</xdr:colOff>
          <xdr:row>17</xdr:row>
          <xdr:rowOff>279400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17</xdr:row>
          <xdr:rowOff>63500</xdr:rowOff>
        </xdr:from>
        <xdr:to>
          <xdr:col>6</xdr:col>
          <xdr:colOff>285750</xdr:colOff>
          <xdr:row>17</xdr:row>
          <xdr:rowOff>279400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17</xdr:row>
          <xdr:rowOff>63500</xdr:rowOff>
        </xdr:from>
        <xdr:to>
          <xdr:col>7</xdr:col>
          <xdr:colOff>285750</xdr:colOff>
          <xdr:row>17</xdr:row>
          <xdr:rowOff>279400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17</xdr:row>
          <xdr:rowOff>63500</xdr:rowOff>
        </xdr:from>
        <xdr:to>
          <xdr:col>8</xdr:col>
          <xdr:colOff>285750</xdr:colOff>
          <xdr:row>17</xdr:row>
          <xdr:rowOff>279400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18</xdr:row>
          <xdr:rowOff>63500</xdr:rowOff>
        </xdr:from>
        <xdr:to>
          <xdr:col>2</xdr:col>
          <xdr:colOff>285750</xdr:colOff>
          <xdr:row>18</xdr:row>
          <xdr:rowOff>279400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18</xdr:row>
          <xdr:rowOff>63500</xdr:rowOff>
        </xdr:from>
        <xdr:to>
          <xdr:col>3</xdr:col>
          <xdr:colOff>285750</xdr:colOff>
          <xdr:row>18</xdr:row>
          <xdr:rowOff>279400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18</xdr:row>
          <xdr:rowOff>63500</xdr:rowOff>
        </xdr:from>
        <xdr:to>
          <xdr:col>4</xdr:col>
          <xdr:colOff>285750</xdr:colOff>
          <xdr:row>18</xdr:row>
          <xdr:rowOff>279400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18</xdr:row>
          <xdr:rowOff>63500</xdr:rowOff>
        </xdr:from>
        <xdr:to>
          <xdr:col>5</xdr:col>
          <xdr:colOff>285750</xdr:colOff>
          <xdr:row>18</xdr:row>
          <xdr:rowOff>279400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18</xdr:row>
          <xdr:rowOff>63500</xdr:rowOff>
        </xdr:from>
        <xdr:to>
          <xdr:col>6</xdr:col>
          <xdr:colOff>285750</xdr:colOff>
          <xdr:row>18</xdr:row>
          <xdr:rowOff>279400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18</xdr:row>
          <xdr:rowOff>63500</xdr:rowOff>
        </xdr:from>
        <xdr:to>
          <xdr:col>7</xdr:col>
          <xdr:colOff>285750</xdr:colOff>
          <xdr:row>18</xdr:row>
          <xdr:rowOff>279400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18</xdr:row>
          <xdr:rowOff>63500</xdr:rowOff>
        </xdr:from>
        <xdr:to>
          <xdr:col>8</xdr:col>
          <xdr:colOff>285750</xdr:colOff>
          <xdr:row>18</xdr:row>
          <xdr:rowOff>279400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19</xdr:row>
          <xdr:rowOff>63500</xdr:rowOff>
        </xdr:from>
        <xdr:to>
          <xdr:col>2</xdr:col>
          <xdr:colOff>285750</xdr:colOff>
          <xdr:row>19</xdr:row>
          <xdr:rowOff>279400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19</xdr:row>
          <xdr:rowOff>63500</xdr:rowOff>
        </xdr:from>
        <xdr:to>
          <xdr:col>3</xdr:col>
          <xdr:colOff>285750</xdr:colOff>
          <xdr:row>19</xdr:row>
          <xdr:rowOff>279400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19</xdr:row>
          <xdr:rowOff>63500</xdr:rowOff>
        </xdr:from>
        <xdr:to>
          <xdr:col>4</xdr:col>
          <xdr:colOff>285750</xdr:colOff>
          <xdr:row>19</xdr:row>
          <xdr:rowOff>279400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19</xdr:row>
          <xdr:rowOff>63500</xdr:rowOff>
        </xdr:from>
        <xdr:to>
          <xdr:col>5</xdr:col>
          <xdr:colOff>285750</xdr:colOff>
          <xdr:row>19</xdr:row>
          <xdr:rowOff>279400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19</xdr:row>
          <xdr:rowOff>63500</xdr:rowOff>
        </xdr:from>
        <xdr:to>
          <xdr:col>6</xdr:col>
          <xdr:colOff>285750</xdr:colOff>
          <xdr:row>19</xdr:row>
          <xdr:rowOff>279400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19</xdr:row>
          <xdr:rowOff>63500</xdr:rowOff>
        </xdr:from>
        <xdr:to>
          <xdr:col>7</xdr:col>
          <xdr:colOff>285750</xdr:colOff>
          <xdr:row>19</xdr:row>
          <xdr:rowOff>279400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19</xdr:row>
          <xdr:rowOff>63500</xdr:rowOff>
        </xdr:from>
        <xdr:to>
          <xdr:col>8</xdr:col>
          <xdr:colOff>285750</xdr:colOff>
          <xdr:row>19</xdr:row>
          <xdr:rowOff>279400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20</xdr:row>
          <xdr:rowOff>63500</xdr:rowOff>
        </xdr:from>
        <xdr:to>
          <xdr:col>2</xdr:col>
          <xdr:colOff>285750</xdr:colOff>
          <xdr:row>20</xdr:row>
          <xdr:rowOff>279400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20</xdr:row>
          <xdr:rowOff>63500</xdr:rowOff>
        </xdr:from>
        <xdr:to>
          <xdr:col>3</xdr:col>
          <xdr:colOff>285750</xdr:colOff>
          <xdr:row>20</xdr:row>
          <xdr:rowOff>279400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20</xdr:row>
          <xdr:rowOff>63500</xdr:rowOff>
        </xdr:from>
        <xdr:to>
          <xdr:col>4</xdr:col>
          <xdr:colOff>285750</xdr:colOff>
          <xdr:row>20</xdr:row>
          <xdr:rowOff>279400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20</xdr:row>
          <xdr:rowOff>63500</xdr:rowOff>
        </xdr:from>
        <xdr:to>
          <xdr:col>5</xdr:col>
          <xdr:colOff>285750</xdr:colOff>
          <xdr:row>20</xdr:row>
          <xdr:rowOff>279400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20</xdr:row>
          <xdr:rowOff>63500</xdr:rowOff>
        </xdr:from>
        <xdr:to>
          <xdr:col>6</xdr:col>
          <xdr:colOff>285750</xdr:colOff>
          <xdr:row>20</xdr:row>
          <xdr:rowOff>279400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20</xdr:row>
          <xdr:rowOff>63500</xdr:rowOff>
        </xdr:from>
        <xdr:to>
          <xdr:col>7</xdr:col>
          <xdr:colOff>285750</xdr:colOff>
          <xdr:row>20</xdr:row>
          <xdr:rowOff>279400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20</xdr:row>
          <xdr:rowOff>63500</xdr:rowOff>
        </xdr:from>
        <xdr:to>
          <xdr:col>8</xdr:col>
          <xdr:colOff>285750</xdr:colOff>
          <xdr:row>20</xdr:row>
          <xdr:rowOff>279400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21</xdr:row>
          <xdr:rowOff>63500</xdr:rowOff>
        </xdr:from>
        <xdr:to>
          <xdr:col>2</xdr:col>
          <xdr:colOff>285750</xdr:colOff>
          <xdr:row>21</xdr:row>
          <xdr:rowOff>279400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21</xdr:row>
          <xdr:rowOff>63500</xdr:rowOff>
        </xdr:from>
        <xdr:to>
          <xdr:col>3</xdr:col>
          <xdr:colOff>285750</xdr:colOff>
          <xdr:row>21</xdr:row>
          <xdr:rowOff>279400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21</xdr:row>
          <xdr:rowOff>63500</xdr:rowOff>
        </xdr:from>
        <xdr:to>
          <xdr:col>4</xdr:col>
          <xdr:colOff>285750</xdr:colOff>
          <xdr:row>21</xdr:row>
          <xdr:rowOff>279400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21</xdr:row>
          <xdr:rowOff>63500</xdr:rowOff>
        </xdr:from>
        <xdr:to>
          <xdr:col>5</xdr:col>
          <xdr:colOff>285750</xdr:colOff>
          <xdr:row>21</xdr:row>
          <xdr:rowOff>279400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21</xdr:row>
          <xdr:rowOff>63500</xdr:rowOff>
        </xdr:from>
        <xdr:to>
          <xdr:col>6</xdr:col>
          <xdr:colOff>285750</xdr:colOff>
          <xdr:row>21</xdr:row>
          <xdr:rowOff>279400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21</xdr:row>
          <xdr:rowOff>63500</xdr:rowOff>
        </xdr:from>
        <xdr:to>
          <xdr:col>7</xdr:col>
          <xdr:colOff>285750</xdr:colOff>
          <xdr:row>21</xdr:row>
          <xdr:rowOff>279400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21</xdr:row>
          <xdr:rowOff>63500</xdr:rowOff>
        </xdr:from>
        <xdr:to>
          <xdr:col>8</xdr:col>
          <xdr:colOff>285750</xdr:colOff>
          <xdr:row>21</xdr:row>
          <xdr:rowOff>279400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23</xdr:row>
          <xdr:rowOff>63500</xdr:rowOff>
        </xdr:from>
        <xdr:to>
          <xdr:col>2</xdr:col>
          <xdr:colOff>285750</xdr:colOff>
          <xdr:row>23</xdr:row>
          <xdr:rowOff>279400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23</xdr:row>
          <xdr:rowOff>63500</xdr:rowOff>
        </xdr:from>
        <xdr:to>
          <xdr:col>3</xdr:col>
          <xdr:colOff>285750</xdr:colOff>
          <xdr:row>23</xdr:row>
          <xdr:rowOff>279400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23</xdr:row>
          <xdr:rowOff>63500</xdr:rowOff>
        </xdr:from>
        <xdr:to>
          <xdr:col>4</xdr:col>
          <xdr:colOff>285750</xdr:colOff>
          <xdr:row>23</xdr:row>
          <xdr:rowOff>279400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23</xdr:row>
          <xdr:rowOff>63500</xdr:rowOff>
        </xdr:from>
        <xdr:to>
          <xdr:col>5</xdr:col>
          <xdr:colOff>285750</xdr:colOff>
          <xdr:row>23</xdr:row>
          <xdr:rowOff>279400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23</xdr:row>
          <xdr:rowOff>63500</xdr:rowOff>
        </xdr:from>
        <xdr:to>
          <xdr:col>6</xdr:col>
          <xdr:colOff>285750</xdr:colOff>
          <xdr:row>23</xdr:row>
          <xdr:rowOff>279400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23</xdr:row>
          <xdr:rowOff>63500</xdr:rowOff>
        </xdr:from>
        <xdr:to>
          <xdr:col>7</xdr:col>
          <xdr:colOff>285750</xdr:colOff>
          <xdr:row>23</xdr:row>
          <xdr:rowOff>279400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23</xdr:row>
          <xdr:rowOff>63500</xdr:rowOff>
        </xdr:from>
        <xdr:to>
          <xdr:col>8</xdr:col>
          <xdr:colOff>285750</xdr:colOff>
          <xdr:row>23</xdr:row>
          <xdr:rowOff>279400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24</xdr:row>
          <xdr:rowOff>63500</xdr:rowOff>
        </xdr:from>
        <xdr:to>
          <xdr:col>2</xdr:col>
          <xdr:colOff>285750</xdr:colOff>
          <xdr:row>24</xdr:row>
          <xdr:rowOff>279400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24</xdr:row>
          <xdr:rowOff>63500</xdr:rowOff>
        </xdr:from>
        <xdr:to>
          <xdr:col>3</xdr:col>
          <xdr:colOff>285750</xdr:colOff>
          <xdr:row>24</xdr:row>
          <xdr:rowOff>279400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24</xdr:row>
          <xdr:rowOff>63500</xdr:rowOff>
        </xdr:from>
        <xdr:to>
          <xdr:col>4</xdr:col>
          <xdr:colOff>285750</xdr:colOff>
          <xdr:row>24</xdr:row>
          <xdr:rowOff>279400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24</xdr:row>
          <xdr:rowOff>63500</xdr:rowOff>
        </xdr:from>
        <xdr:to>
          <xdr:col>5</xdr:col>
          <xdr:colOff>285750</xdr:colOff>
          <xdr:row>24</xdr:row>
          <xdr:rowOff>279400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24</xdr:row>
          <xdr:rowOff>63500</xdr:rowOff>
        </xdr:from>
        <xdr:to>
          <xdr:col>6</xdr:col>
          <xdr:colOff>285750</xdr:colOff>
          <xdr:row>24</xdr:row>
          <xdr:rowOff>279400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24</xdr:row>
          <xdr:rowOff>63500</xdr:rowOff>
        </xdr:from>
        <xdr:to>
          <xdr:col>7</xdr:col>
          <xdr:colOff>285750</xdr:colOff>
          <xdr:row>24</xdr:row>
          <xdr:rowOff>279400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24</xdr:row>
          <xdr:rowOff>63500</xdr:rowOff>
        </xdr:from>
        <xdr:to>
          <xdr:col>8</xdr:col>
          <xdr:colOff>285750</xdr:colOff>
          <xdr:row>24</xdr:row>
          <xdr:rowOff>279400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25</xdr:row>
          <xdr:rowOff>63500</xdr:rowOff>
        </xdr:from>
        <xdr:to>
          <xdr:col>2</xdr:col>
          <xdr:colOff>285750</xdr:colOff>
          <xdr:row>25</xdr:row>
          <xdr:rowOff>279400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25</xdr:row>
          <xdr:rowOff>63500</xdr:rowOff>
        </xdr:from>
        <xdr:to>
          <xdr:col>3</xdr:col>
          <xdr:colOff>285750</xdr:colOff>
          <xdr:row>25</xdr:row>
          <xdr:rowOff>279400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25</xdr:row>
          <xdr:rowOff>63500</xdr:rowOff>
        </xdr:from>
        <xdr:to>
          <xdr:col>4</xdr:col>
          <xdr:colOff>285750</xdr:colOff>
          <xdr:row>25</xdr:row>
          <xdr:rowOff>279400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25</xdr:row>
          <xdr:rowOff>63500</xdr:rowOff>
        </xdr:from>
        <xdr:to>
          <xdr:col>5</xdr:col>
          <xdr:colOff>285750</xdr:colOff>
          <xdr:row>25</xdr:row>
          <xdr:rowOff>279400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25</xdr:row>
          <xdr:rowOff>63500</xdr:rowOff>
        </xdr:from>
        <xdr:to>
          <xdr:col>6</xdr:col>
          <xdr:colOff>285750</xdr:colOff>
          <xdr:row>25</xdr:row>
          <xdr:rowOff>279400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25</xdr:row>
          <xdr:rowOff>63500</xdr:rowOff>
        </xdr:from>
        <xdr:to>
          <xdr:col>7</xdr:col>
          <xdr:colOff>285750</xdr:colOff>
          <xdr:row>25</xdr:row>
          <xdr:rowOff>279400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25</xdr:row>
          <xdr:rowOff>63500</xdr:rowOff>
        </xdr:from>
        <xdr:to>
          <xdr:col>8</xdr:col>
          <xdr:colOff>285750</xdr:colOff>
          <xdr:row>25</xdr:row>
          <xdr:rowOff>279400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26</xdr:row>
          <xdr:rowOff>63500</xdr:rowOff>
        </xdr:from>
        <xdr:to>
          <xdr:col>2</xdr:col>
          <xdr:colOff>285750</xdr:colOff>
          <xdr:row>26</xdr:row>
          <xdr:rowOff>279400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26</xdr:row>
          <xdr:rowOff>63500</xdr:rowOff>
        </xdr:from>
        <xdr:to>
          <xdr:col>3</xdr:col>
          <xdr:colOff>285750</xdr:colOff>
          <xdr:row>26</xdr:row>
          <xdr:rowOff>279400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26</xdr:row>
          <xdr:rowOff>63500</xdr:rowOff>
        </xdr:from>
        <xdr:to>
          <xdr:col>4</xdr:col>
          <xdr:colOff>285750</xdr:colOff>
          <xdr:row>26</xdr:row>
          <xdr:rowOff>279400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26</xdr:row>
          <xdr:rowOff>63500</xdr:rowOff>
        </xdr:from>
        <xdr:to>
          <xdr:col>5</xdr:col>
          <xdr:colOff>285750</xdr:colOff>
          <xdr:row>26</xdr:row>
          <xdr:rowOff>279400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26</xdr:row>
          <xdr:rowOff>63500</xdr:rowOff>
        </xdr:from>
        <xdr:to>
          <xdr:col>6</xdr:col>
          <xdr:colOff>285750</xdr:colOff>
          <xdr:row>26</xdr:row>
          <xdr:rowOff>279400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26</xdr:row>
          <xdr:rowOff>63500</xdr:rowOff>
        </xdr:from>
        <xdr:to>
          <xdr:col>7</xdr:col>
          <xdr:colOff>285750</xdr:colOff>
          <xdr:row>26</xdr:row>
          <xdr:rowOff>279400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26</xdr:row>
          <xdr:rowOff>63500</xdr:rowOff>
        </xdr:from>
        <xdr:to>
          <xdr:col>8</xdr:col>
          <xdr:colOff>285750</xdr:colOff>
          <xdr:row>26</xdr:row>
          <xdr:rowOff>279400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27</xdr:row>
          <xdr:rowOff>63500</xdr:rowOff>
        </xdr:from>
        <xdr:to>
          <xdr:col>2</xdr:col>
          <xdr:colOff>285750</xdr:colOff>
          <xdr:row>27</xdr:row>
          <xdr:rowOff>279400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27</xdr:row>
          <xdr:rowOff>63500</xdr:rowOff>
        </xdr:from>
        <xdr:to>
          <xdr:col>3</xdr:col>
          <xdr:colOff>285750</xdr:colOff>
          <xdr:row>27</xdr:row>
          <xdr:rowOff>279400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27</xdr:row>
          <xdr:rowOff>63500</xdr:rowOff>
        </xdr:from>
        <xdr:to>
          <xdr:col>4</xdr:col>
          <xdr:colOff>285750</xdr:colOff>
          <xdr:row>27</xdr:row>
          <xdr:rowOff>279400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27</xdr:row>
          <xdr:rowOff>63500</xdr:rowOff>
        </xdr:from>
        <xdr:to>
          <xdr:col>5</xdr:col>
          <xdr:colOff>285750</xdr:colOff>
          <xdr:row>27</xdr:row>
          <xdr:rowOff>279400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27</xdr:row>
          <xdr:rowOff>63500</xdr:rowOff>
        </xdr:from>
        <xdr:to>
          <xdr:col>6</xdr:col>
          <xdr:colOff>285750</xdr:colOff>
          <xdr:row>27</xdr:row>
          <xdr:rowOff>279400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27</xdr:row>
          <xdr:rowOff>63500</xdr:rowOff>
        </xdr:from>
        <xdr:to>
          <xdr:col>7</xdr:col>
          <xdr:colOff>285750</xdr:colOff>
          <xdr:row>27</xdr:row>
          <xdr:rowOff>279400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27</xdr:row>
          <xdr:rowOff>63500</xdr:rowOff>
        </xdr:from>
        <xdr:to>
          <xdr:col>8</xdr:col>
          <xdr:colOff>285750</xdr:colOff>
          <xdr:row>27</xdr:row>
          <xdr:rowOff>279400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29</xdr:row>
          <xdr:rowOff>63500</xdr:rowOff>
        </xdr:from>
        <xdr:to>
          <xdr:col>2</xdr:col>
          <xdr:colOff>285750</xdr:colOff>
          <xdr:row>29</xdr:row>
          <xdr:rowOff>279400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29</xdr:row>
          <xdr:rowOff>63500</xdr:rowOff>
        </xdr:from>
        <xdr:to>
          <xdr:col>3</xdr:col>
          <xdr:colOff>285750</xdr:colOff>
          <xdr:row>29</xdr:row>
          <xdr:rowOff>279400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29</xdr:row>
          <xdr:rowOff>63500</xdr:rowOff>
        </xdr:from>
        <xdr:to>
          <xdr:col>4</xdr:col>
          <xdr:colOff>285750</xdr:colOff>
          <xdr:row>29</xdr:row>
          <xdr:rowOff>279400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29</xdr:row>
          <xdr:rowOff>63500</xdr:rowOff>
        </xdr:from>
        <xdr:to>
          <xdr:col>5</xdr:col>
          <xdr:colOff>285750</xdr:colOff>
          <xdr:row>29</xdr:row>
          <xdr:rowOff>279400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29</xdr:row>
          <xdr:rowOff>63500</xdr:rowOff>
        </xdr:from>
        <xdr:to>
          <xdr:col>6</xdr:col>
          <xdr:colOff>285750</xdr:colOff>
          <xdr:row>29</xdr:row>
          <xdr:rowOff>279400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29</xdr:row>
          <xdr:rowOff>63500</xdr:rowOff>
        </xdr:from>
        <xdr:to>
          <xdr:col>7</xdr:col>
          <xdr:colOff>285750</xdr:colOff>
          <xdr:row>29</xdr:row>
          <xdr:rowOff>279400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29</xdr:row>
          <xdr:rowOff>63500</xdr:rowOff>
        </xdr:from>
        <xdr:to>
          <xdr:col>8</xdr:col>
          <xdr:colOff>285750</xdr:colOff>
          <xdr:row>29</xdr:row>
          <xdr:rowOff>279400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30</xdr:row>
          <xdr:rowOff>63500</xdr:rowOff>
        </xdr:from>
        <xdr:to>
          <xdr:col>2</xdr:col>
          <xdr:colOff>285750</xdr:colOff>
          <xdr:row>30</xdr:row>
          <xdr:rowOff>279400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30</xdr:row>
          <xdr:rowOff>63500</xdr:rowOff>
        </xdr:from>
        <xdr:to>
          <xdr:col>3</xdr:col>
          <xdr:colOff>285750</xdr:colOff>
          <xdr:row>30</xdr:row>
          <xdr:rowOff>279400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30</xdr:row>
          <xdr:rowOff>63500</xdr:rowOff>
        </xdr:from>
        <xdr:to>
          <xdr:col>4</xdr:col>
          <xdr:colOff>285750</xdr:colOff>
          <xdr:row>30</xdr:row>
          <xdr:rowOff>279400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30</xdr:row>
          <xdr:rowOff>63500</xdr:rowOff>
        </xdr:from>
        <xdr:to>
          <xdr:col>5</xdr:col>
          <xdr:colOff>285750</xdr:colOff>
          <xdr:row>30</xdr:row>
          <xdr:rowOff>279400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30</xdr:row>
          <xdr:rowOff>63500</xdr:rowOff>
        </xdr:from>
        <xdr:to>
          <xdr:col>6</xdr:col>
          <xdr:colOff>285750</xdr:colOff>
          <xdr:row>30</xdr:row>
          <xdr:rowOff>279400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30</xdr:row>
          <xdr:rowOff>63500</xdr:rowOff>
        </xdr:from>
        <xdr:to>
          <xdr:col>7</xdr:col>
          <xdr:colOff>285750</xdr:colOff>
          <xdr:row>30</xdr:row>
          <xdr:rowOff>279400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30</xdr:row>
          <xdr:rowOff>63500</xdr:rowOff>
        </xdr:from>
        <xdr:to>
          <xdr:col>8</xdr:col>
          <xdr:colOff>285750</xdr:colOff>
          <xdr:row>30</xdr:row>
          <xdr:rowOff>279400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31</xdr:row>
          <xdr:rowOff>63500</xdr:rowOff>
        </xdr:from>
        <xdr:to>
          <xdr:col>2</xdr:col>
          <xdr:colOff>285750</xdr:colOff>
          <xdr:row>31</xdr:row>
          <xdr:rowOff>279400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31</xdr:row>
          <xdr:rowOff>63500</xdr:rowOff>
        </xdr:from>
        <xdr:to>
          <xdr:col>3</xdr:col>
          <xdr:colOff>285750</xdr:colOff>
          <xdr:row>31</xdr:row>
          <xdr:rowOff>279400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31</xdr:row>
          <xdr:rowOff>63500</xdr:rowOff>
        </xdr:from>
        <xdr:to>
          <xdr:col>4</xdr:col>
          <xdr:colOff>285750</xdr:colOff>
          <xdr:row>31</xdr:row>
          <xdr:rowOff>279400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31</xdr:row>
          <xdr:rowOff>63500</xdr:rowOff>
        </xdr:from>
        <xdr:to>
          <xdr:col>5</xdr:col>
          <xdr:colOff>285750</xdr:colOff>
          <xdr:row>31</xdr:row>
          <xdr:rowOff>279400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31</xdr:row>
          <xdr:rowOff>63500</xdr:rowOff>
        </xdr:from>
        <xdr:to>
          <xdr:col>6</xdr:col>
          <xdr:colOff>285750</xdr:colOff>
          <xdr:row>31</xdr:row>
          <xdr:rowOff>279400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31</xdr:row>
          <xdr:rowOff>63500</xdr:rowOff>
        </xdr:from>
        <xdr:to>
          <xdr:col>7</xdr:col>
          <xdr:colOff>285750</xdr:colOff>
          <xdr:row>31</xdr:row>
          <xdr:rowOff>279400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31</xdr:row>
          <xdr:rowOff>63500</xdr:rowOff>
        </xdr:from>
        <xdr:to>
          <xdr:col>8</xdr:col>
          <xdr:colOff>285750</xdr:colOff>
          <xdr:row>31</xdr:row>
          <xdr:rowOff>279400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32</xdr:row>
          <xdr:rowOff>63500</xdr:rowOff>
        </xdr:from>
        <xdr:to>
          <xdr:col>2</xdr:col>
          <xdr:colOff>285750</xdr:colOff>
          <xdr:row>32</xdr:row>
          <xdr:rowOff>279400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32</xdr:row>
          <xdr:rowOff>63500</xdr:rowOff>
        </xdr:from>
        <xdr:to>
          <xdr:col>3</xdr:col>
          <xdr:colOff>285750</xdr:colOff>
          <xdr:row>32</xdr:row>
          <xdr:rowOff>279400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32</xdr:row>
          <xdr:rowOff>63500</xdr:rowOff>
        </xdr:from>
        <xdr:to>
          <xdr:col>4</xdr:col>
          <xdr:colOff>285750</xdr:colOff>
          <xdr:row>32</xdr:row>
          <xdr:rowOff>279400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32</xdr:row>
          <xdr:rowOff>63500</xdr:rowOff>
        </xdr:from>
        <xdr:to>
          <xdr:col>5</xdr:col>
          <xdr:colOff>285750</xdr:colOff>
          <xdr:row>32</xdr:row>
          <xdr:rowOff>279400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32</xdr:row>
          <xdr:rowOff>63500</xdr:rowOff>
        </xdr:from>
        <xdr:to>
          <xdr:col>6</xdr:col>
          <xdr:colOff>285750</xdr:colOff>
          <xdr:row>32</xdr:row>
          <xdr:rowOff>279400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32</xdr:row>
          <xdr:rowOff>63500</xdr:rowOff>
        </xdr:from>
        <xdr:to>
          <xdr:col>7</xdr:col>
          <xdr:colOff>285750</xdr:colOff>
          <xdr:row>32</xdr:row>
          <xdr:rowOff>279400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32</xdr:row>
          <xdr:rowOff>63500</xdr:rowOff>
        </xdr:from>
        <xdr:to>
          <xdr:col>8</xdr:col>
          <xdr:colOff>285750</xdr:colOff>
          <xdr:row>32</xdr:row>
          <xdr:rowOff>279400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33</xdr:row>
          <xdr:rowOff>63500</xdr:rowOff>
        </xdr:from>
        <xdr:to>
          <xdr:col>2</xdr:col>
          <xdr:colOff>285750</xdr:colOff>
          <xdr:row>33</xdr:row>
          <xdr:rowOff>279400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33</xdr:row>
          <xdr:rowOff>63500</xdr:rowOff>
        </xdr:from>
        <xdr:to>
          <xdr:col>3</xdr:col>
          <xdr:colOff>285750</xdr:colOff>
          <xdr:row>33</xdr:row>
          <xdr:rowOff>279400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63500</xdr:rowOff>
        </xdr:from>
        <xdr:to>
          <xdr:col>4</xdr:col>
          <xdr:colOff>285750</xdr:colOff>
          <xdr:row>33</xdr:row>
          <xdr:rowOff>279400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33</xdr:row>
          <xdr:rowOff>63500</xdr:rowOff>
        </xdr:from>
        <xdr:to>
          <xdr:col>5</xdr:col>
          <xdr:colOff>285750</xdr:colOff>
          <xdr:row>33</xdr:row>
          <xdr:rowOff>279400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33</xdr:row>
          <xdr:rowOff>63500</xdr:rowOff>
        </xdr:from>
        <xdr:to>
          <xdr:col>6</xdr:col>
          <xdr:colOff>285750</xdr:colOff>
          <xdr:row>33</xdr:row>
          <xdr:rowOff>279400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33</xdr:row>
          <xdr:rowOff>63500</xdr:rowOff>
        </xdr:from>
        <xdr:to>
          <xdr:col>7</xdr:col>
          <xdr:colOff>285750</xdr:colOff>
          <xdr:row>33</xdr:row>
          <xdr:rowOff>279400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33</xdr:row>
          <xdr:rowOff>63500</xdr:rowOff>
        </xdr:from>
        <xdr:to>
          <xdr:col>8</xdr:col>
          <xdr:colOff>285750</xdr:colOff>
          <xdr:row>33</xdr:row>
          <xdr:rowOff>279400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35</xdr:row>
          <xdr:rowOff>63500</xdr:rowOff>
        </xdr:from>
        <xdr:to>
          <xdr:col>2</xdr:col>
          <xdr:colOff>285750</xdr:colOff>
          <xdr:row>35</xdr:row>
          <xdr:rowOff>279400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35</xdr:row>
          <xdr:rowOff>63500</xdr:rowOff>
        </xdr:from>
        <xdr:to>
          <xdr:col>3</xdr:col>
          <xdr:colOff>285750</xdr:colOff>
          <xdr:row>35</xdr:row>
          <xdr:rowOff>279400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35</xdr:row>
          <xdr:rowOff>63500</xdr:rowOff>
        </xdr:from>
        <xdr:to>
          <xdr:col>4</xdr:col>
          <xdr:colOff>285750</xdr:colOff>
          <xdr:row>35</xdr:row>
          <xdr:rowOff>279400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35</xdr:row>
          <xdr:rowOff>63500</xdr:rowOff>
        </xdr:from>
        <xdr:to>
          <xdr:col>5</xdr:col>
          <xdr:colOff>285750</xdr:colOff>
          <xdr:row>35</xdr:row>
          <xdr:rowOff>279400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35</xdr:row>
          <xdr:rowOff>63500</xdr:rowOff>
        </xdr:from>
        <xdr:to>
          <xdr:col>6</xdr:col>
          <xdr:colOff>285750</xdr:colOff>
          <xdr:row>35</xdr:row>
          <xdr:rowOff>279400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35</xdr:row>
          <xdr:rowOff>63500</xdr:rowOff>
        </xdr:from>
        <xdr:to>
          <xdr:col>7</xdr:col>
          <xdr:colOff>285750</xdr:colOff>
          <xdr:row>35</xdr:row>
          <xdr:rowOff>279400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35</xdr:row>
          <xdr:rowOff>63500</xdr:rowOff>
        </xdr:from>
        <xdr:to>
          <xdr:col>8</xdr:col>
          <xdr:colOff>285750</xdr:colOff>
          <xdr:row>35</xdr:row>
          <xdr:rowOff>279400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36</xdr:row>
          <xdr:rowOff>63500</xdr:rowOff>
        </xdr:from>
        <xdr:to>
          <xdr:col>2</xdr:col>
          <xdr:colOff>285750</xdr:colOff>
          <xdr:row>36</xdr:row>
          <xdr:rowOff>279400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36</xdr:row>
          <xdr:rowOff>63500</xdr:rowOff>
        </xdr:from>
        <xdr:to>
          <xdr:col>3</xdr:col>
          <xdr:colOff>285750</xdr:colOff>
          <xdr:row>36</xdr:row>
          <xdr:rowOff>279400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36</xdr:row>
          <xdr:rowOff>63500</xdr:rowOff>
        </xdr:from>
        <xdr:to>
          <xdr:col>4</xdr:col>
          <xdr:colOff>285750</xdr:colOff>
          <xdr:row>36</xdr:row>
          <xdr:rowOff>279400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36</xdr:row>
          <xdr:rowOff>63500</xdr:rowOff>
        </xdr:from>
        <xdr:to>
          <xdr:col>5</xdr:col>
          <xdr:colOff>285750</xdr:colOff>
          <xdr:row>36</xdr:row>
          <xdr:rowOff>279400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36</xdr:row>
          <xdr:rowOff>63500</xdr:rowOff>
        </xdr:from>
        <xdr:to>
          <xdr:col>6</xdr:col>
          <xdr:colOff>285750</xdr:colOff>
          <xdr:row>36</xdr:row>
          <xdr:rowOff>279400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36</xdr:row>
          <xdr:rowOff>63500</xdr:rowOff>
        </xdr:from>
        <xdr:to>
          <xdr:col>7</xdr:col>
          <xdr:colOff>285750</xdr:colOff>
          <xdr:row>36</xdr:row>
          <xdr:rowOff>279400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36</xdr:row>
          <xdr:rowOff>63500</xdr:rowOff>
        </xdr:from>
        <xdr:to>
          <xdr:col>8</xdr:col>
          <xdr:colOff>285750</xdr:colOff>
          <xdr:row>36</xdr:row>
          <xdr:rowOff>279400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37</xdr:row>
          <xdr:rowOff>63500</xdr:rowOff>
        </xdr:from>
        <xdr:to>
          <xdr:col>2</xdr:col>
          <xdr:colOff>285750</xdr:colOff>
          <xdr:row>37</xdr:row>
          <xdr:rowOff>279400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37</xdr:row>
          <xdr:rowOff>63500</xdr:rowOff>
        </xdr:from>
        <xdr:to>
          <xdr:col>3</xdr:col>
          <xdr:colOff>285750</xdr:colOff>
          <xdr:row>37</xdr:row>
          <xdr:rowOff>279400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37</xdr:row>
          <xdr:rowOff>63500</xdr:rowOff>
        </xdr:from>
        <xdr:to>
          <xdr:col>4</xdr:col>
          <xdr:colOff>285750</xdr:colOff>
          <xdr:row>37</xdr:row>
          <xdr:rowOff>279400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37</xdr:row>
          <xdr:rowOff>63500</xdr:rowOff>
        </xdr:from>
        <xdr:to>
          <xdr:col>5</xdr:col>
          <xdr:colOff>285750</xdr:colOff>
          <xdr:row>37</xdr:row>
          <xdr:rowOff>279400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37</xdr:row>
          <xdr:rowOff>63500</xdr:rowOff>
        </xdr:from>
        <xdr:to>
          <xdr:col>6</xdr:col>
          <xdr:colOff>285750</xdr:colOff>
          <xdr:row>37</xdr:row>
          <xdr:rowOff>279400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37</xdr:row>
          <xdr:rowOff>63500</xdr:rowOff>
        </xdr:from>
        <xdr:to>
          <xdr:col>7</xdr:col>
          <xdr:colOff>285750</xdr:colOff>
          <xdr:row>37</xdr:row>
          <xdr:rowOff>279400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37</xdr:row>
          <xdr:rowOff>63500</xdr:rowOff>
        </xdr:from>
        <xdr:to>
          <xdr:col>8</xdr:col>
          <xdr:colOff>285750</xdr:colOff>
          <xdr:row>37</xdr:row>
          <xdr:rowOff>279400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38</xdr:row>
          <xdr:rowOff>63500</xdr:rowOff>
        </xdr:from>
        <xdr:to>
          <xdr:col>2</xdr:col>
          <xdr:colOff>285750</xdr:colOff>
          <xdr:row>38</xdr:row>
          <xdr:rowOff>279400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38</xdr:row>
          <xdr:rowOff>63500</xdr:rowOff>
        </xdr:from>
        <xdr:to>
          <xdr:col>3</xdr:col>
          <xdr:colOff>285750</xdr:colOff>
          <xdr:row>38</xdr:row>
          <xdr:rowOff>279400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38</xdr:row>
          <xdr:rowOff>63500</xdr:rowOff>
        </xdr:from>
        <xdr:to>
          <xdr:col>4</xdr:col>
          <xdr:colOff>285750</xdr:colOff>
          <xdr:row>38</xdr:row>
          <xdr:rowOff>279400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38</xdr:row>
          <xdr:rowOff>63500</xdr:rowOff>
        </xdr:from>
        <xdr:to>
          <xdr:col>5</xdr:col>
          <xdr:colOff>285750</xdr:colOff>
          <xdr:row>38</xdr:row>
          <xdr:rowOff>279400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38</xdr:row>
          <xdr:rowOff>63500</xdr:rowOff>
        </xdr:from>
        <xdr:to>
          <xdr:col>6</xdr:col>
          <xdr:colOff>285750</xdr:colOff>
          <xdr:row>38</xdr:row>
          <xdr:rowOff>279400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38</xdr:row>
          <xdr:rowOff>63500</xdr:rowOff>
        </xdr:from>
        <xdr:to>
          <xdr:col>7</xdr:col>
          <xdr:colOff>285750</xdr:colOff>
          <xdr:row>38</xdr:row>
          <xdr:rowOff>279400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38</xdr:row>
          <xdr:rowOff>63500</xdr:rowOff>
        </xdr:from>
        <xdr:to>
          <xdr:col>8</xdr:col>
          <xdr:colOff>285750</xdr:colOff>
          <xdr:row>38</xdr:row>
          <xdr:rowOff>279400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39</xdr:row>
          <xdr:rowOff>63500</xdr:rowOff>
        </xdr:from>
        <xdr:to>
          <xdr:col>2</xdr:col>
          <xdr:colOff>285750</xdr:colOff>
          <xdr:row>39</xdr:row>
          <xdr:rowOff>279400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39</xdr:row>
          <xdr:rowOff>63500</xdr:rowOff>
        </xdr:from>
        <xdr:to>
          <xdr:col>3</xdr:col>
          <xdr:colOff>285750</xdr:colOff>
          <xdr:row>39</xdr:row>
          <xdr:rowOff>279400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39</xdr:row>
          <xdr:rowOff>63500</xdr:rowOff>
        </xdr:from>
        <xdr:to>
          <xdr:col>4</xdr:col>
          <xdr:colOff>285750</xdr:colOff>
          <xdr:row>39</xdr:row>
          <xdr:rowOff>279400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39</xdr:row>
          <xdr:rowOff>63500</xdr:rowOff>
        </xdr:from>
        <xdr:to>
          <xdr:col>5</xdr:col>
          <xdr:colOff>285750</xdr:colOff>
          <xdr:row>39</xdr:row>
          <xdr:rowOff>279400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39</xdr:row>
          <xdr:rowOff>63500</xdr:rowOff>
        </xdr:from>
        <xdr:to>
          <xdr:col>6</xdr:col>
          <xdr:colOff>285750</xdr:colOff>
          <xdr:row>39</xdr:row>
          <xdr:rowOff>279400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39</xdr:row>
          <xdr:rowOff>63500</xdr:rowOff>
        </xdr:from>
        <xdr:to>
          <xdr:col>7</xdr:col>
          <xdr:colOff>285750</xdr:colOff>
          <xdr:row>39</xdr:row>
          <xdr:rowOff>279400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39</xdr:row>
          <xdr:rowOff>63500</xdr:rowOff>
        </xdr:from>
        <xdr:to>
          <xdr:col>8</xdr:col>
          <xdr:colOff>285750</xdr:colOff>
          <xdr:row>39</xdr:row>
          <xdr:rowOff>279400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41</xdr:row>
          <xdr:rowOff>63500</xdr:rowOff>
        </xdr:from>
        <xdr:to>
          <xdr:col>2</xdr:col>
          <xdr:colOff>285750</xdr:colOff>
          <xdr:row>41</xdr:row>
          <xdr:rowOff>279400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41</xdr:row>
          <xdr:rowOff>63500</xdr:rowOff>
        </xdr:from>
        <xdr:to>
          <xdr:col>3</xdr:col>
          <xdr:colOff>285750</xdr:colOff>
          <xdr:row>41</xdr:row>
          <xdr:rowOff>279400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41</xdr:row>
          <xdr:rowOff>63500</xdr:rowOff>
        </xdr:from>
        <xdr:to>
          <xdr:col>4</xdr:col>
          <xdr:colOff>285750</xdr:colOff>
          <xdr:row>41</xdr:row>
          <xdr:rowOff>279400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41</xdr:row>
          <xdr:rowOff>63500</xdr:rowOff>
        </xdr:from>
        <xdr:to>
          <xdr:col>5</xdr:col>
          <xdr:colOff>285750</xdr:colOff>
          <xdr:row>41</xdr:row>
          <xdr:rowOff>279400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41</xdr:row>
          <xdr:rowOff>63500</xdr:rowOff>
        </xdr:from>
        <xdr:to>
          <xdr:col>6</xdr:col>
          <xdr:colOff>285750</xdr:colOff>
          <xdr:row>41</xdr:row>
          <xdr:rowOff>279400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41</xdr:row>
          <xdr:rowOff>63500</xdr:rowOff>
        </xdr:from>
        <xdr:to>
          <xdr:col>7</xdr:col>
          <xdr:colOff>285750</xdr:colOff>
          <xdr:row>41</xdr:row>
          <xdr:rowOff>279400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41</xdr:row>
          <xdr:rowOff>63500</xdr:rowOff>
        </xdr:from>
        <xdr:to>
          <xdr:col>8</xdr:col>
          <xdr:colOff>285750</xdr:colOff>
          <xdr:row>41</xdr:row>
          <xdr:rowOff>279400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42</xdr:row>
          <xdr:rowOff>63500</xdr:rowOff>
        </xdr:from>
        <xdr:to>
          <xdr:col>2</xdr:col>
          <xdr:colOff>285750</xdr:colOff>
          <xdr:row>42</xdr:row>
          <xdr:rowOff>279400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42</xdr:row>
          <xdr:rowOff>63500</xdr:rowOff>
        </xdr:from>
        <xdr:to>
          <xdr:col>3</xdr:col>
          <xdr:colOff>285750</xdr:colOff>
          <xdr:row>42</xdr:row>
          <xdr:rowOff>279400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42</xdr:row>
          <xdr:rowOff>63500</xdr:rowOff>
        </xdr:from>
        <xdr:to>
          <xdr:col>4</xdr:col>
          <xdr:colOff>285750</xdr:colOff>
          <xdr:row>42</xdr:row>
          <xdr:rowOff>279400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42</xdr:row>
          <xdr:rowOff>63500</xdr:rowOff>
        </xdr:from>
        <xdr:to>
          <xdr:col>5</xdr:col>
          <xdr:colOff>285750</xdr:colOff>
          <xdr:row>42</xdr:row>
          <xdr:rowOff>279400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42</xdr:row>
          <xdr:rowOff>63500</xdr:rowOff>
        </xdr:from>
        <xdr:to>
          <xdr:col>6</xdr:col>
          <xdr:colOff>285750</xdr:colOff>
          <xdr:row>42</xdr:row>
          <xdr:rowOff>279400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42</xdr:row>
          <xdr:rowOff>63500</xdr:rowOff>
        </xdr:from>
        <xdr:to>
          <xdr:col>7</xdr:col>
          <xdr:colOff>285750</xdr:colOff>
          <xdr:row>42</xdr:row>
          <xdr:rowOff>279400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42</xdr:row>
          <xdr:rowOff>63500</xdr:rowOff>
        </xdr:from>
        <xdr:to>
          <xdr:col>8</xdr:col>
          <xdr:colOff>285750</xdr:colOff>
          <xdr:row>42</xdr:row>
          <xdr:rowOff>279400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43</xdr:row>
          <xdr:rowOff>63500</xdr:rowOff>
        </xdr:from>
        <xdr:to>
          <xdr:col>2</xdr:col>
          <xdr:colOff>285750</xdr:colOff>
          <xdr:row>43</xdr:row>
          <xdr:rowOff>279400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43</xdr:row>
          <xdr:rowOff>63500</xdr:rowOff>
        </xdr:from>
        <xdr:to>
          <xdr:col>3</xdr:col>
          <xdr:colOff>285750</xdr:colOff>
          <xdr:row>43</xdr:row>
          <xdr:rowOff>279400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43</xdr:row>
          <xdr:rowOff>63500</xdr:rowOff>
        </xdr:from>
        <xdr:to>
          <xdr:col>4</xdr:col>
          <xdr:colOff>285750</xdr:colOff>
          <xdr:row>43</xdr:row>
          <xdr:rowOff>279400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43</xdr:row>
          <xdr:rowOff>63500</xdr:rowOff>
        </xdr:from>
        <xdr:to>
          <xdr:col>5</xdr:col>
          <xdr:colOff>285750</xdr:colOff>
          <xdr:row>43</xdr:row>
          <xdr:rowOff>279400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43</xdr:row>
          <xdr:rowOff>63500</xdr:rowOff>
        </xdr:from>
        <xdr:to>
          <xdr:col>6</xdr:col>
          <xdr:colOff>285750</xdr:colOff>
          <xdr:row>43</xdr:row>
          <xdr:rowOff>279400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43</xdr:row>
          <xdr:rowOff>63500</xdr:rowOff>
        </xdr:from>
        <xdr:to>
          <xdr:col>7</xdr:col>
          <xdr:colOff>285750</xdr:colOff>
          <xdr:row>43</xdr:row>
          <xdr:rowOff>279400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43</xdr:row>
          <xdr:rowOff>63500</xdr:rowOff>
        </xdr:from>
        <xdr:to>
          <xdr:col>8</xdr:col>
          <xdr:colOff>285750</xdr:colOff>
          <xdr:row>43</xdr:row>
          <xdr:rowOff>279400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44</xdr:row>
          <xdr:rowOff>63500</xdr:rowOff>
        </xdr:from>
        <xdr:to>
          <xdr:col>2</xdr:col>
          <xdr:colOff>285750</xdr:colOff>
          <xdr:row>44</xdr:row>
          <xdr:rowOff>279400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44</xdr:row>
          <xdr:rowOff>63500</xdr:rowOff>
        </xdr:from>
        <xdr:to>
          <xdr:col>3</xdr:col>
          <xdr:colOff>285750</xdr:colOff>
          <xdr:row>44</xdr:row>
          <xdr:rowOff>279400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44</xdr:row>
          <xdr:rowOff>63500</xdr:rowOff>
        </xdr:from>
        <xdr:to>
          <xdr:col>4</xdr:col>
          <xdr:colOff>285750</xdr:colOff>
          <xdr:row>44</xdr:row>
          <xdr:rowOff>279400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44</xdr:row>
          <xdr:rowOff>63500</xdr:rowOff>
        </xdr:from>
        <xdr:to>
          <xdr:col>5</xdr:col>
          <xdr:colOff>285750</xdr:colOff>
          <xdr:row>44</xdr:row>
          <xdr:rowOff>279400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44</xdr:row>
          <xdr:rowOff>63500</xdr:rowOff>
        </xdr:from>
        <xdr:to>
          <xdr:col>6</xdr:col>
          <xdr:colOff>285750</xdr:colOff>
          <xdr:row>44</xdr:row>
          <xdr:rowOff>279400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44</xdr:row>
          <xdr:rowOff>63500</xdr:rowOff>
        </xdr:from>
        <xdr:to>
          <xdr:col>7</xdr:col>
          <xdr:colOff>285750</xdr:colOff>
          <xdr:row>44</xdr:row>
          <xdr:rowOff>279400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44</xdr:row>
          <xdr:rowOff>63500</xdr:rowOff>
        </xdr:from>
        <xdr:to>
          <xdr:col>8</xdr:col>
          <xdr:colOff>285750</xdr:colOff>
          <xdr:row>44</xdr:row>
          <xdr:rowOff>279400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45</xdr:row>
          <xdr:rowOff>63500</xdr:rowOff>
        </xdr:from>
        <xdr:to>
          <xdr:col>2</xdr:col>
          <xdr:colOff>285750</xdr:colOff>
          <xdr:row>45</xdr:row>
          <xdr:rowOff>279400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45</xdr:row>
          <xdr:rowOff>63500</xdr:rowOff>
        </xdr:from>
        <xdr:to>
          <xdr:col>3</xdr:col>
          <xdr:colOff>285750</xdr:colOff>
          <xdr:row>45</xdr:row>
          <xdr:rowOff>279400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45</xdr:row>
          <xdr:rowOff>63500</xdr:rowOff>
        </xdr:from>
        <xdr:to>
          <xdr:col>4</xdr:col>
          <xdr:colOff>285750</xdr:colOff>
          <xdr:row>45</xdr:row>
          <xdr:rowOff>279400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45</xdr:row>
          <xdr:rowOff>63500</xdr:rowOff>
        </xdr:from>
        <xdr:to>
          <xdr:col>5</xdr:col>
          <xdr:colOff>285750</xdr:colOff>
          <xdr:row>45</xdr:row>
          <xdr:rowOff>279400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45</xdr:row>
          <xdr:rowOff>63500</xdr:rowOff>
        </xdr:from>
        <xdr:to>
          <xdr:col>6</xdr:col>
          <xdr:colOff>285750</xdr:colOff>
          <xdr:row>45</xdr:row>
          <xdr:rowOff>279400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45</xdr:row>
          <xdr:rowOff>63500</xdr:rowOff>
        </xdr:from>
        <xdr:to>
          <xdr:col>7</xdr:col>
          <xdr:colOff>285750</xdr:colOff>
          <xdr:row>45</xdr:row>
          <xdr:rowOff>279400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45</xdr:row>
          <xdr:rowOff>63500</xdr:rowOff>
        </xdr:from>
        <xdr:to>
          <xdr:col>8</xdr:col>
          <xdr:colOff>285750</xdr:colOff>
          <xdr:row>45</xdr:row>
          <xdr:rowOff>279400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47</xdr:row>
          <xdr:rowOff>63500</xdr:rowOff>
        </xdr:from>
        <xdr:to>
          <xdr:col>2</xdr:col>
          <xdr:colOff>285750</xdr:colOff>
          <xdr:row>47</xdr:row>
          <xdr:rowOff>279400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47</xdr:row>
          <xdr:rowOff>63500</xdr:rowOff>
        </xdr:from>
        <xdr:to>
          <xdr:col>3</xdr:col>
          <xdr:colOff>285750</xdr:colOff>
          <xdr:row>47</xdr:row>
          <xdr:rowOff>279400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47</xdr:row>
          <xdr:rowOff>63500</xdr:rowOff>
        </xdr:from>
        <xdr:to>
          <xdr:col>4</xdr:col>
          <xdr:colOff>285750</xdr:colOff>
          <xdr:row>47</xdr:row>
          <xdr:rowOff>279400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47</xdr:row>
          <xdr:rowOff>63500</xdr:rowOff>
        </xdr:from>
        <xdr:to>
          <xdr:col>5</xdr:col>
          <xdr:colOff>285750</xdr:colOff>
          <xdr:row>47</xdr:row>
          <xdr:rowOff>279400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47</xdr:row>
          <xdr:rowOff>63500</xdr:rowOff>
        </xdr:from>
        <xdr:to>
          <xdr:col>6</xdr:col>
          <xdr:colOff>285750</xdr:colOff>
          <xdr:row>47</xdr:row>
          <xdr:rowOff>279400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47</xdr:row>
          <xdr:rowOff>63500</xdr:rowOff>
        </xdr:from>
        <xdr:to>
          <xdr:col>7</xdr:col>
          <xdr:colOff>285750</xdr:colOff>
          <xdr:row>47</xdr:row>
          <xdr:rowOff>279400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47</xdr:row>
          <xdr:rowOff>63500</xdr:rowOff>
        </xdr:from>
        <xdr:to>
          <xdr:col>8</xdr:col>
          <xdr:colOff>285750</xdr:colOff>
          <xdr:row>47</xdr:row>
          <xdr:rowOff>279400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48</xdr:row>
          <xdr:rowOff>63500</xdr:rowOff>
        </xdr:from>
        <xdr:to>
          <xdr:col>2</xdr:col>
          <xdr:colOff>285750</xdr:colOff>
          <xdr:row>48</xdr:row>
          <xdr:rowOff>279400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48</xdr:row>
          <xdr:rowOff>63500</xdr:rowOff>
        </xdr:from>
        <xdr:to>
          <xdr:col>3</xdr:col>
          <xdr:colOff>285750</xdr:colOff>
          <xdr:row>48</xdr:row>
          <xdr:rowOff>279400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48</xdr:row>
          <xdr:rowOff>63500</xdr:rowOff>
        </xdr:from>
        <xdr:to>
          <xdr:col>4</xdr:col>
          <xdr:colOff>285750</xdr:colOff>
          <xdr:row>48</xdr:row>
          <xdr:rowOff>279400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48</xdr:row>
          <xdr:rowOff>63500</xdr:rowOff>
        </xdr:from>
        <xdr:to>
          <xdr:col>5</xdr:col>
          <xdr:colOff>285750</xdr:colOff>
          <xdr:row>48</xdr:row>
          <xdr:rowOff>279400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48</xdr:row>
          <xdr:rowOff>63500</xdr:rowOff>
        </xdr:from>
        <xdr:to>
          <xdr:col>6</xdr:col>
          <xdr:colOff>285750</xdr:colOff>
          <xdr:row>48</xdr:row>
          <xdr:rowOff>279400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48</xdr:row>
          <xdr:rowOff>63500</xdr:rowOff>
        </xdr:from>
        <xdr:to>
          <xdr:col>7</xdr:col>
          <xdr:colOff>285750</xdr:colOff>
          <xdr:row>48</xdr:row>
          <xdr:rowOff>279400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48</xdr:row>
          <xdr:rowOff>63500</xdr:rowOff>
        </xdr:from>
        <xdr:to>
          <xdr:col>8</xdr:col>
          <xdr:colOff>285750</xdr:colOff>
          <xdr:row>48</xdr:row>
          <xdr:rowOff>279400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49</xdr:row>
          <xdr:rowOff>63500</xdr:rowOff>
        </xdr:from>
        <xdr:to>
          <xdr:col>2</xdr:col>
          <xdr:colOff>285750</xdr:colOff>
          <xdr:row>49</xdr:row>
          <xdr:rowOff>279400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49</xdr:row>
          <xdr:rowOff>63500</xdr:rowOff>
        </xdr:from>
        <xdr:to>
          <xdr:col>3</xdr:col>
          <xdr:colOff>285750</xdr:colOff>
          <xdr:row>49</xdr:row>
          <xdr:rowOff>279400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49</xdr:row>
          <xdr:rowOff>63500</xdr:rowOff>
        </xdr:from>
        <xdr:to>
          <xdr:col>4</xdr:col>
          <xdr:colOff>285750</xdr:colOff>
          <xdr:row>49</xdr:row>
          <xdr:rowOff>279400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49</xdr:row>
          <xdr:rowOff>63500</xdr:rowOff>
        </xdr:from>
        <xdr:to>
          <xdr:col>5</xdr:col>
          <xdr:colOff>285750</xdr:colOff>
          <xdr:row>49</xdr:row>
          <xdr:rowOff>279400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49</xdr:row>
          <xdr:rowOff>63500</xdr:rowOff>
        </xdr:from>
        <xdr:to>
          <xdr:col>6</xdr:col>
          <xdr:colOff>285750</xdr:colOff>
          <xdr:row>49</xdr:row>
          <xdr:rowOff>279400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49</xdr:row>
          <xdr:rowOff>63500</xdr:rowOff>
        </xdr:from>
        <xdr:to>
          <xdr:col>7</xdr:col>
          <xdr:colOff>285750</xdr:colOff>
          <xdr:row>49</xdr:row>
          <xdr:rowOff>279400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49</xdr:row>
          <xdr:rowOff>63500</xdr:rowOff>
        </xdr:from>
        <xdr:to>
          <xdr:col>8</xdr:col>
          <xdr:colOff>285750</xdr:colOff>
          <xdr:row>49</xdr:row>
          <xdr:rowOff>279400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50</xdr:row>
          <xdr:rowOff>63500</xdr:rowOff>
        </xdr:from>
        <xdr:to>
          <xdr:col>2</xdr:col>
          <xdr:colOff>285750</xdr:colOff>
          <xdr:row>50</xdr:row>
          <xdr:rowOff>279400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50</xdr:row>
          <xdr:rowOff>63500</xdr:rowOff>
        </xdr:from>
        <xdr:to>
          <xdr:col>3</xdr:col>
          <xdr:colOff>285750</xdr:colOff>
          <xdr:row>50</xdr:row>
          <xdr:rowOff>279400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50</xdr:row>
          <xdr:rowOff>63500</xdr:rowOff>
        </xdr:from>
        <xdr:to>
          <xdr:col>4</xdr:col>
          <xdr:colOff>285750</xdr:colOff>
          <xdr:row>50</xdr:row>
          <xdr:rowOff>279400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50</xdr:row>
          <xdr:rowOff>63500</xdr:rowOff>
        </xdr:from>
        <xdr:to>
          <xdr:col>5</xdr:col>
          <xdr:colOff>285750</xdr:colOff>
          <xdr:row>50</xdr:row>
          <xdr:rowOff>279400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50</xdr:row>
          <xdr:rowOff>63500</xdr:rowOff>
        </xdr:from>
        <xdr:to>
          <xdr:col>6</xdr:col>
          <xdr:colOff>285750</xdr:colOff>
          <xdr:row>50</xdr:row>
          <xdr:rowOff>279400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50</xdr:row>
          <xdr:rowOff>63500</xdr:rowOff>
        </xdr:from>
        <xdr:to>
          <xdr:col>7</xdr:col>
          <xdr:colOff>285750</xdr:colOff>
          <xdr:row>50</xdr:row>
          <xdr:rowOff>279400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50</xdr:row>
          <xdr:rowOff>63500</xdr:rowOff>
        </xdr:from>
        <xdr:to>
          <xdr:col>8</xdr:col>
          <xdr:colOff>285750</xdr:colOff>
          <xdr:row>50</xdr:row>
          <xdr:rowOff>279400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51</xdr:row>
          <xdr:rowOff>63500</xdr:rowOff>
        </xdr:from>
        <xdr:to>
          <xdr:col>2</xdr:col>
          <xdr:colOff>285750</xdr:colOff>
          <xdr:row>51</xdr:row>
          <xdr:rowOff>279400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51</xdr:row>
          <xdr:rowOff>63500</xdr:rowOff>
        </xdr:from>
        <xdr:to>
          <xdr:col>3</xdr:col>
          <xdr:colOff>285750</xdr:colOff>
          <xdr:row>51</xdr:row>
          <xdr:rowOff>279400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51</xdr:row>
          <xdr:rowOff>63500</xdr:rowOff>
        </xdr:from>
        <xdr:to>
          <xdr:col>4</xdr:col>
          <xdr:colOff>285750</xdr:colOff>
          <xdr:row>51</xdr:row>
          <xdr:rowOff>279400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51</xdr:row>
          <xdr:rowOff>63500</xdr:rowOff>
        </xdr:from>
        <xdr:to>
          <xdr:col>5</xdr:col>
          <xdr:colOff>285750</xdr:colOff>
          <xdr:row>51</xdr:row>
          <xdr:rowOff>279400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51</xdr:row>
          <xdr:rowOff>63500</xdr:rowOff>
        </xdr:from>
        <xdr:to>
          <xdr:col>6</xdr:col>
          <xdr:colOff>285750</xdr:colOff>
          <xdr:row>51</xdr:row>
          <xdr:rowOff>279400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51</xdr:row>
          <xdr:rowOff>63500</xdr:rowOff>
        </xdr:from>
        <xdr:to>
          <xdr:col>7</xdr:col>
          <xdr:colOff>285750</xdr:colOff>
          <xdr:row>51</xdr:row>
          <xdr:rowOff>279400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51</xdr:row>
          <xdr:rowOff>63500</xdr:rowOff>
        </xdr:from>
        <xdr:to>
          <xdr:col>8</xdr:col>
          <xdr:colOff>285750</xdr:colOff>
          <xdr:row>51</xdr:row>
          <xdr:rowOff>279400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53</xdr:row>
          <xdr:rowOff>63500</xdr:rowOff>
        </xdr:from>
        <xdr:to>
          <xdr:col>2</xdr:col>
          <xdr:colOff>285750</xdr:colOff>
          <xdr:row>53</xdr:row>
          <xdr:rowOff>279400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53</xdr:row>
          <xdr:rowOff>63500</xdr:rowOff>
        </xdr:from>
        <xdr:to>
          <xdr:col>3</xdr:col>
          <xdr:colOff>285750</xdr:colOff>
          <xdr:row>53</xdr:row>
          <xdr:rowOff>279400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53</xdr:row>
          <xdr:rowOff>63500</xdr:rowOff>
        </xdr:from>
        <xdr:to>
          <xdr:col>4</xdr:col>
          <xdr:colOff>285750</xdr:colOff>
          <xdr:row>53</xdr:row>
          <xdr:rowOff>279400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53</xdr:row>
          <xdr:rowOff>63500</xdr:rowOff>
        </xdr:from>
        <xdr:to>
          <xdr:col>5</xdr:col>
          <xdr:colOff>285750</xdr:colOff>
          <xdr:row>53</xdr:row>
          <xdr:rowOff>279400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53</xdr:row>
          <xdr:rowOff>63500</xdr:rowOff>
        </xdr:from>
        <xdr:to>
          <xdr:col>6</xdr:col>
          <xdr:colOff>285750</xdr:colOff>
          <xdr:row>53</xdr:row>
          <xdr:rowOff>279400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53</xdr:row>
          <xdr:rowOff>63500</xdr:rowOff>
        </xdr:from>
        <xdr:to>
          <xdr:col>7</xdr:col>
          <xdr:colOff>285750</xdr:colOff>
          <xdr:row>53</xdr:row>
          <xdr:rowOff>279400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53</xdr:row>
          <xdr:rowOff>63500</xdr:rowOff>
        </xdr:from>
        <xdr:to>
          <xdr:col>8</xdr:col>
          <xdr:colOff>285750</xdr:colOff>
          <xdr:row>53</xdr:row>
          <xdr:rowOff>279400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54</xdr:row>
          <xdr:rowOff>63500</xdr:rowOff>
        </xdr:from>
        <xdr:to>
          <xdr:col>2</xdr:col>
          <xdr:colOff>285750</xdr:colOff>
          <xdr:row>54</xdr:row>
          <xdr:rowOff>279400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54</xdr:row>
          <xdr:rowOff>63500</xdr:rowOff>
        </xdr:from>
        <xdr:to>
          <xdr:col>3</xdr:col>
          <xdr:colOff>285750</xdr:colOff>
          <xdr:row>54</xdr:row>
          <xdr:rowOff>279400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54</xdr:row>
          <xdr:rowOff>63500</xdr:rowOff>
        </xdr:from>
        <xdr:to>
          <xdr:col>4</xdr:col>
          <xdr:colOff>285750</xdr:colOff>
          <xdr:row>54</xdr:row>
          <xdr:rowOff>279400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54</xdr:row>
          <xdr:rowOff>63500</xdr:rowOff>
        </xdr:from>
        <xdr:to>
          <xdr:col>5</xdr:col>
          <xdr:colOff>285750</xdr:colOff>
          <xdr:row>54</xdr:row>
          <xdr:rowOff>279400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54</xdr:row>
          <xdr:rowOff>63500</xdr:rowOff>
        </xdr:from>
        <xdr:to>
          <xdr:col>6</xdr:col>
          <xdr:colOff>285750</xdr:colOff>
          <xdr:row>54</xdr:row>
          <xdr:rowOff>279400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54</xdr:row>
          <xdr:rowOff>63500</xdr:rowOff>
        </xdr:from>
        <xdr:to>
          <xdr:col>7</xdr:col>
          <xdr:colOff>285750</xdr:colOff>
          <xdr:row>54</xdr:row>
          <xdr:rowOff>279400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54</xdr:row>
          <xdr:rowOff>63500</xdr:rowOff>
        </xdr:from>
        <xdr:to>
          <xdr:col>8</xdr:col>
          <xdr:colOff>285750</xdr:colOff>
          <xdr:row>54</xdr:row>
          <xdr:rowOff>279400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55</xdr:row>
          <xdr:rowOff>63500</xdr:rowOff>
        </xdr:from>
        <xdr:to>
          <xdr:col>2</xdr:col>
          <xdr:colOff>285750</xdr:colOff>
          <xdr:row>55</xdr:row>
          <xdr:rowOff>279400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55</xdr:row>
          <xdr:rowOff>63500</xdr:rowOff>
        </xdr:from>
        <xdr:to>
          <xdr:col>3</xdr:col>
          <xdr:colOff>285750</xdr:colOff>
          <xdr:row>55</xdr:row>
          <xdr:rowOff>279400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55</xdr:row>
          <xdr:rowOff>63500</xdr:rowOff>
        </xdr:from>
        <xdr:to>
          <xdr:col>4</xdr:col>
          <xdr:colOff>285750</xdr:colOff>
          <xdr:row>55</xdr:row>
          <xdr:rowOff>279400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55</xdr:row>
          <xdr:rowOff>63500</xdr:rowOff>
        </xdr:from>
        <xdr:to>
          <xdr:col>5</xdr:col>
          <xdr:colOff>285750</xdr:colOff>
          <xdr:row>55</xdr:row>
          <xdr:rowOff>279400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55</xdr:row>
          <xdr:rowOff>63500</xdr:rowOff>
        </xdr:from>
        <xdr:to>
          <xdr:col>6</xdr:col>
          <xdr:colOff>285750</xdr:colOff>
          <xdr:row>55</xdr:row>
          <xdr:rowOff>279400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55</xdr:row>
          <xdr:rowOff>63500</xdr:rowOff>
        </xdr:from>
        <xdr:to>
          <xdr:col>7</xdr:col>
          <xdr:colOff>285750</xdr:colOff>
          <xdr:row>55</xdr:row>
          <xdr:rowOff>279400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55</xdr:row>
          <xdr:rowOff>63500</xdr:rowOff>
        </xdr:from>
        <xdr:to>
          <xdr:col>8</xdr:col>
          <xdr:colOff>285750</xdr:colOff>
          <xdr:row>55</xdr:row>
          <xdr:rowOff>279400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56</xdr:row>
          <xdr:rowOff>63500</xdr:rowOff>
        </xdr:from>
        <xdr:to>
          <xdr:col>2</xdr:col>
          <xdr:colOff>285750</xdr:colOff>
          <xdr:row>56</xdr:row>
          <xdr:rowOff>279400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56</xdr:row>
          <xdr:rowOff>63500</xdr:rowOff>
        </xdr:from>
        <xdr:to>
          <xdr:col>3</xdr:col>
          <xdr:colOff>285750</xdr:colOff>
          <xdr:row>56</xdr:row>
          <xdr:rowOff>279400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56</xdr:row>
          <xdr:rowOff>63500</xdr:rowOff>
        </xdr:from>
        <xdr:to>
          <xdr:col>4</xdr:col>
          <xdr:colOff>285750</xdr:colOff>
          <xdr:row>56</xdr:row>
          <xdr:rowOff>279400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56</xdr:row>
          <xdr:rowOff>63500</xdr:rowOff>
        </xdr:from>
        <xdr:to>
          <xdr:col>5</xdr:col>
          <xdr:colOff>285750</xdr:colOff>
          <xdr:row>56</xdr:row>
          <xdr:rowOff>279400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56</xdr:row>
          <xdr:rowOff>63500</xdr:rowOff>
        </xdr:from>
        <xdr:to>
          <xdr:col>6</xdr:col>
          <xdr:colOff>285750</xdr:colOff>
          <xdr:row>56</xdr:row>
          <xdr:rowOff>279400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56</xdr:row>
          <xdr:rowOff>63500</xdr:rowOff>
        </xdr:from>
        <xdr:to>
          <xdr:col>7</xdr:col>
          <xdr:colOff>285750</xdr:colOff>
          <xdr:row>56</xdr:row>
          <xdr:rowOff>279400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56</xdr:row>
          <xdr:rowOff>63500</xdr:rowOff>
        </xdr:from>
        <xdr:to>
          <xdr:col>8</xdr:col>
          <xdr:colOff>285750</xdr:colOff>
          <xdr:row>56</xdr:row>
          <xdr:rowOff>279400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57</xdr:row>
          <xdr:rowOff>63500</xdr:rowOff>
        </xdr:from>
        <xdr:to>
          <xdr:col>2</xdr:col>
          <xdr:colOff>285750</xdr:colOff>
          <xdr:row>57</xdr:row>
          <xdr:rowOff>279400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57</xdr:row>
          <xdr:rowOff>63500</xdr:rowOff>
        </xdr:from>
        <xdr:to>
          <xdr:col>3</xdr:col>
          <xdr:colOff>285750</xdr:colOff>
          <xdr:row>57</xdr:row>
          <xdr:rowOff>279400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57</xdr:row>
          <xdr:rowOff>63500</xdr:rowOff>
        </xdr:from>
        <xdr:to>
          <xdr:col>4</xdr:col>
          <xdr:colOff>285750</xdr:colOff>
          <xdr:row>57</xdr:row>
          <xdr:rowOff>279400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57</xdr:row>
          <xdr:rowOff>63500</xdr:rowOff>
        </xdr:from>
        <xdr:to>
          <xdr:col>5</xdr:col>
          <xdr:colOff>285750</xdr:colOff>
          <xdr:row>57</xdr:row>
          <xdr:rowOff>279400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57</xdr:row>
          <xdr:rowOff>63500</xdr:rowOff>
        </xdr:from>
        <xdr:to>
          <xdr:col>6</xdr:col>
          <xdr:colOff>285750</xdr:colOff>
          <xdr:row>57</xdr:row>
          <xdr:rowOff>279400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57</xdr:row>
          <xdr:rowOff>63500</xdr:rowOff>
        </xdr:from>
        <xdr:to>
          <xdr:col>7</xdr:col>
          <xdr:colOff>285750</xdr:colOff>
          <xdr:row>57</xdr:row>
          <xdr:rowOff>279400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57</xdr:row>
          <xdr:rowOff>63500</xdr:rowOff>
        </xdr:from>
        <xdr:to>
          <xdr:col>8</xdr:col>
          <xdr:colOff>285750</xdr:colOff>
          <xdr:row>57</xdr:row>
          <xdr:rowOff>279400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59</xdr:row>
          <xdr:rowOff>63500</xdr:rowOff>
        </xdr:from>
        <xdr:to>
          <xdr:col>2</xdr:col>
          <xdr:colOff>285750</xdr:colOff>
          <xdr:row>59</xdr:row>
          <xdr:rowOff>279400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59</xdr:row>
          <xdr:rowOff>63500</xdr:rowOff>
        </xdr:from>
        <xdr:to>
          <xdr:col>3</xdr:col>
          <xdr:colOff>285750</xdr:colOff>
          <xdr:row>59</xdr:row>
          <xdr:rowOff>279400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59</xdr:row>
          <xdr:rowOff>63500</xdr:rowOff>
        </xdr:from>
        <xdr:to>
          <xdr:col>4</xdr:col>
          <xdr:colOff>285750</xdr:colOff>
          <xdr:row>59</xdr:row>
          <xdr:rowOff>279400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59</xdr:row>
          <xdr:rowOff>63500</xdr:rowOff>
        </xdr:from>
        <xdr:to>
          <xdr:col>5</xdr:col>
          <xdr:colOff>285750</xdr:colOff>
          <xdr:row>59</xdr:row>
          <xdr:rowOff>279400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59</xdr:row>
          <xdr:rowOff>63500</xdr:rowOff>
        </xdr:from>
        <xdr:to>
          <xdr:col>6</xdr:col>
          <xdr:colOff>285750</xdr:colOff>
          <xdr:row>59</xdr:row>
          <xdr:rowOff>279400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59</xdr:row>
          <xdr:rowOff>63500</xdr:rowOff>
        </xdr:from>
        <xdr:to>
          <xdr:col>7</xdr:col>
          <xdr:colOff>285750</xdr:colOff>
          <xdr:row>59</xdr:row>
          <xdr:rowOff>279400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59</xdr:row>
          <xdr:rowOff>63500</xdr:rowOff>
        </xdr:from>
        <xdr:to>
          <xdr:col>8</xdr:col>
          <xdr:colOff>285750</xdr:colOff>
          <xdr:row>59</xdr:row>
          <xdr:rowOff>279400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60</xdr:row>
          <xdr:rowOff>63500</xdr:rowOff>
        </xdr:from>
        <xdr:to>
          <xdr:col>2</xdr:col>
          <xdr:colOff>285750</xdr:colOff>
          <xdr:row>60</xdr:row>
          <xdr:rowOff>279400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60</xdr:row>
          <xdr:rowOff>63500</xdr:rowOff>
        </xdr:from>
        <xdr:to>
          <xdr:col>3</xdr:col>
          <xdr:colOff>285750</xdr:colOff>
          <xdr:row>60</xdr:row>
          <xdr:rowOff>279400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60</xdr:row>
          <xdr:rowOff>63500</xdr:rowOff>
        </xdr:from>
        <xdr:to>
          <xdr:col>4</xdr:col>
          <xdr:colOff>285750</xdr:colOff>
          <xdr:row>60</xdr:row>
          <xdr:rowOff>279400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60</xdr:row>
          <xdr:rowOff>63500</xdr:rowOff>
        </xdr:from>
        <xdr:to>
          <xdr:col>5</xdr:col>
          <xdr:colOff>285750</xdr:colOff>
          <xdr:row>60</xdr:row>
          <xdr:rowOff>279400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60</xdr:row>
          <xdr:rowOff>63500</xdr:rowOff>
        </xdr:from>
        <xdr:to>
          <xdr:col>6</xdr:col>
          <xdr:colOff>285750</xdr:colOff>
          <xdr:row>60</xdr:row>
          <xdr:rowOff>279400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60</xdr:row>
          <xdr:rowOff>63500</xdr:rowOff>
        </xdr:from>
        <xdr:to>
          <xdr:col>7</xdr:col>
          <xdr:colOff>285750</xdr:colOff>
          <xdr:row>60</xdr:row>
          <xdr:rowOff>279400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60</xdr:row>
          <xdr:rowOff>63500</xdr:rowOff>
        </xdr:from>
        <xdr:to>
          <xdr:col>8</xdr:col>
          <xdr:colOff>285750</xdr:colOff>
          <xdr:row>60</xdr:row>
          <xdr:rowOff>279400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61</xdr:row>
          <xdr:rowOff>63500</xdr:rowOff>
        </xdr:from>
        <xdr:to>
          <xdr:col>2</xdr:col>
          <xdr:colOff>285750</xdr:colOff>
          <xdr:row>61</xdr:row>
          <xdr:rowOff>279400</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61</xdr:row>
          <xdr:rowOff>63500</xdr:rowOff>
        </xdr:from>
        <xdr:to>
          <xdr:col>3</xdr:col>
          <xdr:colOff>285750</xdr:colOff>
          <xdr:row>61</xdr:row>
          <xdr:rowOff>279400</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61</xdr:row>
          <xdr:rowOff>63500</xdr:rowOff>
        </xdr:from>
        <xdr:to>
          <xdr:col>4</xdr:col>
          <xdr:colOff>285750</xdr:colOff>
          <xdr:row>61</xdr:row>
          <xdr:rowOff>279400</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61</xdr:row>
          <xdr:rowOff>63500</xdr:rowOff>
        </xdr:from>
        <xdr:to>
          <xdr:col>5</xdr:col>
          <xdr:colOff>285750</xdr:colOff>
          <xdr:row>61</xdr:row>
          <xdr:rowOff>279400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61</xdr:row>
          <xdr:rowOff>63500</xdr:rowOff>
        </xdr:from>
        <xdr:to>
          <xdr:col>6</xdr:col>
          <xdr:colOff>285750</xdr:colOff>
          <xdr:row>61</xdr:row>
          <xdr:rowOff>279400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61</xdr:row>
          <xdr:rowOff>63500</xdr:rowOff>
        </xdr:from>
        <xdr:to>
          <xdr:col>7</xdr:col>
          <xdr:colOff>285750</xdr:colOff>
          <xdr:row>61</xdr:row>
          <xdr:rowOff>279400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61</xdr:row>
          <xdr:rowOff>63500</xdr:rowOff>
        </xdr:from>
        <xdr:to>
          <xdr:col>8</xdr:col>
          <xdr:colOff>285750</xdr:colOff>
          <xdr:row>61</xdr:row>
          <xdr:rowOff>279400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62</xdr:row>
          <xdr:rowOff>63500</xdr:rowOff>
        </xdr:from>
        <xdr:to>
          <xdr:col>2</xdr:col>
          <xdr:colOff>285750</xdr:colOff>
          <xdr:row>62</xdr:row>
          <xdr:rowOff>279400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62</xdr:row>
          <xdr:rowOff>63500</xdr:rowOff>
        </xdr:from>
        <xdr:to>
          <xdr:col>3</xdr:col>
          <xdr:colOff>285750</xdr:colOff>
          <xdr:row>62</xdr:row>
          <xdr:rowOff>279400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62</xdr:row>
          <xdr:rowOff>63500</xdr:rowOff>
        </xdr:from>
        <xdr:to>
          <xdr:col>4</xdr:col>
          <xdr:colOff>285750</xdr:colOff>
          <xdr:row>62</xdr:row>
          <xdr:rowOff>279400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62</xdr:row>
          <xdr:rowOff>63500</xdr:rowOff>
        </xdr:from>
        <xdr:to>
          <xdr:col>5</xdr:col>
          <xdr:colOff>285750</xdr:colOff>
          <xdr:row>62</xdr:row>
          <xdr:rowOff>279400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62</xdr:row>
          <xdr:rowOff>63500</xdr:rowOff>
        </xdr:from>
        <xdr:to>
          <xdr:col>6</xdr:col>
          <xdr:colOff>285750</xdr:colOff>
          <xdr:row>62</xdr:row>
          <xdr:rowOff>279400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62</xdr:row>
          <xdr:rowOff>63500</xdr:rowOff>
        </xdr:from>
        <xdr:to>
          <xdr:col>7</xdr:col>
          <xdr:colOff>285750</xdr:colOff>
          <xdr:row>62</xdr:row>
          <xdr:rowOff>279400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62</xdr:row>
          <xdr:rowOff>63500</xdr:rowOff>
        </xdr:from>
        <xdr:to>
          <xdr:col>8</xdr:col>
          <xdr:colOff>285750</xdr:colOff>
          <xdr:row>62</xdr:row>
          <xdr:rowOff>279400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63</xdr:row>
          <xdr:rowOff>63500</xdr:rowOff>
        </xdr:from>
        <xdr:to>
          <xdr:col>2</xdr:col>
          <xdr:colOff>285750</xdr:colOff>
          <xdr:row>63</xdr:row>
          <xdr:rowOff>279400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63</xdr:row>
          <xdr:rowOff>63500</xdr:rowOff>
        </xdr:from>
        <xdr:to>
          <xdr:col>3</xdr:col>
          <xdr:colOff>285750</xdr:colOff>
          <xdr:row>63</xdr:row>
          <xdr:rowOff>279400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63</xdr:row>
          <xdr:rowOff>63500</xdr:rowOff>
        </xdr:from>
        <xdr:to>
          <xdr:col>4</xdr:col>
          <xdr:colOff>285750</xdr:colOff>
          <xdr:row>63</xdr:row>
          <xdr:rowOff>279400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63</xdr:row>
          <xdr:rowOff>63500</xdr:rowOff>
        </xdr:from>
        <xdr:to>
          <xdr:col>5</xdr:col>
          <xdr:colOff>285750</xdr:colOff>
          <xdr:row>63</xdr:row>
          <xdr:rowOff>279400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63</xdr:row>
          <xdr:rowOff>63500</xdr:rowOff>
        </xdr:from>
        <xdr:to>
          <xdr:col>6</xdr:col>
          <xdr:colOff>285750</xdr:colOff>
          <xdr:row>63</xdr:row>
          <xdr:rowOff>279400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63</xdr:row>
          <xdr:rowOff>63500</xdr:rowOff>
        </xdr:from>
        <xdr:to>
          <xdr:col>7</xdr:col>
          <xdr:colOff>285750</xdr:colOff>
          <xdr:row>63</xdr:row>
          <xdr:rowOff>279400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63</xdr:row>
          <xdr:rowOff>63500</xdr:rowOff>
        </xdr:from>
        <xdr:to>
          <xdr:col>8</xdr:col>
          <xdr:colOff>285750</xdr:colOff>
          <xdr:row>63</xdr:row>
          <xdr:rowOff>279400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65</xdr:row>
          <xdr:rowOff>63500</xdr:rowOff>
        </xdr:from>
        <xdr:to>
          <xdr:col>2</xdr:col>
          <xdr:colOff>285750</xdr:colOff>
          <xdr:row>65</xdr:row>
          <xdr:rowOff>279400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65</xdr:row>
          <xdr:rowOff>63500</xdr:rowOff>
        </xdr:from>
        <xdr:to>
          <xdr:col>3</xdr:col>
          <xdr:colOff>285750</xdr:colOff>
          <xdr:row>65</xdr:row>
          <xdr:rowOff>279400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65</xdr:row>
          <xdr:rowOff>63500</xdr:rowOff>
        </xdr:from>
        <xdr:to>
          <xdr:col>4</xdr:col>
          <xdr:colOff>285750</xdr:colOff>
          <xdr:row>65</xdr:row>
          <xdr:rowOff>279400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65</xdr:row>
          <xdr:rowOff>63500</xdr:rowOff>
        </xdr:from>
        <xdr:to>
          <xdr:col>5</xdr:col>
          <xdr:colOff>285750</xdr:colOff>
          <xdr:row>65</xdr:row>
          <xdr:rowOff>279400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65</xdr:row>
          <xdr:rowOff>63500</xdr:rowOff>
        </xdr:from>
        <xdr:to>
          <xdr:col>6</xdr:col>
          <xdr:colOff>285750</xdr:colOff>
          <xdr:row>65</xdr:row>
          <xdr:rowOff>279400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65</xdr:row>
          <xdr:rowOff>63500</xdr:rowOff>
        </xdr:from>
        <xdr:to>
          <xdr:col>7</xdr:col>
          <xdr:colOff>285750</xdr:colOff>
          <xdr:row>65</xdr:row>
          <xdr:rowOff>279400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65</xdr:row>
          <xdr:rowOff>63500</xdr:rowOff>
        </xdr:from>
        <xdr:to>
          <xdr:col>8</xdr:col>
          <xdr:colOff>285750</xdr:colOff>
          <xdr:row>65</xdr:row>
          <xdr:rowOff>279400</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66</xdr:row>
          <xdr:rowOff>63500</xdr:rowOff>
        </xdr:from>
        <xdr:to>
          <xdr:col>2</xdr:col>
          <xdr:colOff>285750</xdr:colOff>
          <xdr:row>66</xdr:row>
          <xdr:rowOff>279400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66</xdr:row>
          <xdr:rowOff>63500</xdr:rowOff>
        </xdr:from>
        <xdr:to>
          <xdr:col>3</xdr:col>
          <xdr:colOff>285750</xdr:colOff>
          <xdr:row>66</xdr:row>
          <xdr:rowOff>279400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66</xdr:row>
          <xdr:rowOff>63500</xdr:rowOff>
        </xdr:from>
        <xdr:to>
          <xdr:col>4</xdr:col>
          <xdr:colOff>285750</xdr:colOff>
          <xdr:row>66</xdr:row>
          <xdr:rowOff>279400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66</xdr:row>
          <xdr:rowOff>63500</xdr:rowOff>
        </xdr:from>
        <xdr:to>
          <xdr:col>5</xdr:col>
          <xdr:colOff>285750</xdr:colOff>
          <xdr:row>66</xdr:row>
          <xdr:rowOff>279400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66</xdr:row>
          <xdr:rowOff>63500</xdr:rowOff>
        </xdr:from>
        <xdr:to>
          <xdr:col>6</xdr:col>
          <xdr:colOff>285750</xdr:colOff>
          <xdr:row>66</xdr:row>
          <xdr:rowOff>279400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66</xdr:row>
          <xdr:rowOff>63500</xdr:rowOff>
        </xdr:from>
        <xdr:to>
          <xdr:col>7</xdr:col>
          <xdr:colOff>285750</xdr:colOff>
          <xdr:row>66</xdr:row>
          <xdr:rowOff>279400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00000000-0008-0000-0000-00007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66</xdr:row>
          <xdr:rowOff>63500</xdr:rowOff>
        </xdr:from>
        <xdr:to>
          <xdr:col>8</xdr:col>
          <xdr:colOff>285750</xdr:colOff>
          <xdr:row>66</xdr:row>
          <xdr:rowOff>279400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00000000-0008-0000-0000-00007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67</xdr:row>
          <xdr:rowOff>63500</xdr:rowOff>
        </xdr:from>
        <xdr:to>
          <xdr:col>2</xdr:col>
          <xdr:colOff>285750</xdr:colOff>
          <xdr:row>67</xdr:row>
          <xdr:rowOff>279400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00000000-0008-0000-0000-00007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67</xdr:row>
          <xdr:rowOff>63500</xdr:rowOff>
        </xdr:from>
        <xdr:to>
          <xdr:col>3</xdr:col>
          <xdr:colOff>285750</xdr:colOff>
          <xdr:row>67</xdr:row>
          <xdr:rowOff>279400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00000000-0008-0000-0000-00007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67</xdr:row>
          <xdr:rowOff>63500</xdr:rowOff>
        </xdr:from>
        <xdr:to>
          <xdr:col>4</xdr:col>
          <xdr:colOff>285750</xdr:colOff>
          <xdr:row>67</xdr:row>
          <xdr:rowOff>279400</xdr:rowOff>
        </xdr:to>
        <xdr:sp macro="" textlink="">
          <xdr:nvSpPr>
            <xdr:cNvPr id="1396" name="Check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67</xdr:row>
          <xdr:rowOff>63500</xdr:rowOff>
        </xdr:from>
        <xdr:to>
          <xdr:col>5</xdr:col>
          <xdr:colOff>285750</xdr:colOff>
          <xdr:row>67</xdr:row>
          <xdr:rowOff>279400</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67</xdr:row>
          <xdr:rowOff>63500</xdr:rowOff>
        </xdr:from>
        <xdr:to>
          <xdr:col>6</xdr:col>
          <xdr:colOff>285750</xdr:colOff>
          <xdr:row>67</xdr:row>
          <xdr:rowOff>279400</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00000000-0008-0000-0000-00007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67</xdr:row>
          <xdr:rowOff>63500</xdr:rowOff>
        </xdr:from>
        <xdr:to>
          <xdr:col>7</xdr:col>
          <xdr:colOff>285750</xdr:colOff>
          <xdr:row>67</xdr:row>
          <xdr:rowOff>279400</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0000000-0008-0000-0000-00007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67</xdr:row>
          <xdr:rowOff>63500</xdr:rowOff>
        </xdr:from>
        <xdr:to>
          <xdr:col>8</xdr:col>
          <xdr:colOff>285750</xdr:colOff>
          <xdr:row>67</xdr:row>
          <xdr:rowOff>279400</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00000000-0008-0000-0000-00007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68</xdr:row>
          <xdr:rowOff>63500</xdr:rowOff>
        </xdr:from>
        <xdr:to>
          <xdr:col>2</xdr:col>
          <xdr:colOff>285750</xdr:colOff>
          <xdr:row>68</xdr:row>
          <xdr:rowOff>279400</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68</xdr:row>
          <xdr:rowOff>63500</xdr:rowOff>
        </xdr:from>
        <xdr:to>
          <xdr:col>3</xdr:col>
          <xdr:colOff>285750</xdr:colOff>
          <xdr:row>68</xdr:row>
          <xdr:rowOff>279400</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68</xdr:row>
          <xdr:rowOff>63500</xdr:rowOff>
        </xdr:from>
        <xdr:to>
          <xdr:col>4</xdr:col>
          <xdr:colOff>285750</xdr:colOff>
          <xdr:row>68</xdr:row>
          <xdr:rowOff>279400</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68</xdr:row>
          <xdr:rowOff>63500</xdr:rowOff>
        </xdr:from>
        <xdr:to>
          <xdr:col>5</xdr:col>
          <xdr:colOff>285750</xdr:colOff>
          <xdr:row>68</xdr:row>
          <xdr:rowOff>279400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68</xdr:row>
          <xdr:rowOff>63500</xdr:rowOff>
        </xdr:from>
        <xdr:to>
          <xdr:col>6</xdr:col>
          <xdr:colOff>285750</xdr:colOff>
          <xdr:row>68</xdr:row>
          <xdr:rowOff>279400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68</xdr:row>
          <xdr:rowOff>63500</xdr:rowOff>
        </xdr:from>
        <xdr:to>
          <xdr:col>7</xdr:col>
          <xdr:colOff>285750</xdr:colOff>
          <xdr:row>68</xdr:row>
          <xdr:rowOff>279400</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68</xdr:row>
          <xdr:rowOff>63500</xdr:rowOff>
        </xdr:from>
        <xdr:to>
          <xdr:col>8</xdr:col>
          <xdr:colOff>285750</xdr:colOff>
          <xdr:row>68</xdr:row>
          <xdr:rowOff>279400</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69</xdr:row>
          <xdr:rowOff>63500</xdr:rowOff>
        </xdr:from>
        <xdr:to>
          <xdr:col>2</xdr:col>
          <xdr:colOff>285750</xdr:colOff>
          <xdr:row>69</xdr:row>
          <xdr:rowOff>279400</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69</xdr:row>
          <xdr:rowOff>63500</xdr:rowOff>
        </xdr:from>
        <xdr:to>
          <xdr:col>3</xdr:col>
          <xdr:colOff>285750</xdr:colOff>
          <xdr:row>69</xdr:row>
          <xdr:rowOff>279400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69</xdr:row>
          <xdr:rowOff>63500</xdr:rowOff>
        </xdr:from>
        <xdr:to>
          <xdr:col>4</xdr:col>
          <xdr:colOff>285750</xdr:colOff>
          <xdr:row>69</xdr:row>
          <xdr:rowOff>279400</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69</xdr:row>
          <xdr:rowOff>63500</xdr:rowOff>
        </xdr:from>
        <xdr:to>
          <xdr:col>5</xdr:col>
          <xdr:colOff>285750</xdr:colOff>
          <xdr:row>69</xdr:row>
          <xdr:rowOff>279400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69</xdr:row>
          <xdr:rowOff>63500</xdr:rowOff>
        </xdr:from>
        <xdr:to>
          <xdr:col>6</xdr:col>
          <xdr:colOff>285750</xdr:colOff>
          <xdr:row>69</xdr:row>
          <xdr:rowOff>279400</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69</xdr:row>
          <xdr:rowOff>63500</xdr:rowOff>
        </xdr:from>
        <xdr:to>
          <xdr:col>7</xdr:col>
          <xdr:colOff>285750</xdr:colOff>
          <xdr:row>69</xdr:row>
          <xdr:rowOff>279400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69</xdr:row>
          <xdr:rowOff>63500</xdr:rowOff>
        </xdr:from>
        <xdr:to>
          <xdr:col>8</xdr:col>
          <xdr:colOff>285750</xdr:colOff>
          <xdr:row>69</xdr:row>
          <xdr:rowOff>279400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71</xdr:row>
          <xdr:rowOff>63500</xdr:rowOff>
        </xdr:from>
        <xdr:to>
          <xdr:col>2</xdr:col>
          <xdr:colOff>285750</xdr:colOff>
          <xdr:row>71</xdr:row>
          <xdr:rowOff>279400</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71</xdr:row>
          <xdr:rowOff>63500</xdr:rowOff>
        </xdr:from>
        <xdr:to>
          <xdr:col>3</xdr:col>
          <xdr:colOff>285750</xdr:colOff>
          <xdr:row>71</xdr:row>
          <xdr:rowOff>279400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71</xdr:row>
          <xdr:rowOff>63500</xdr:rowOff>
        </xdr:from>
        <xdr:to>
          <xdr:col>4</xdr:col>
          <xdr:colOff>285750</xdr:colOff>
          <xdr:row>71</xdr:row>
          <xdr:rowOff>279400</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71</xdr:row>
          <xdr:rowOff>63500</xdr:rowOff>
        </xdr:from>
        <xdr:to>
          <xdr:col>5</xdr:col>
          <xdr:colOff>285750</xdr:colOff>
          <xdr:row>71</xdr:row>
          <xdr:rowOff>279400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71</xdr:row>
          <xdr:rowOff>63500</xdr:rowOff>
        </xdr:from>
        <xdr:to>
          <xdr:col>6</xdr:col>
          <xdr:colOff>285750</xdr:colOff>
          <xdr:row>71</xdr:row>
          <xdr:rowOff>279400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71</xdr:row>
          <xdr:rowOff>63500</xdr:rowOff>
        </xdr:from>
        <xdr:to>
          <xdr:col>7</xdr:col>
          <xdr:colOff>285750</xdr:colOff>
          <xdr:row>71</xdr:row>
          <xdr:rowOff>279400</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71</xdr:row>
          <xdr:rowOff>63500</xdr:rowOff>
        </xdr:from>
        <xdr:to>
          <xdr:col>8</xdr:col>
          <xdr:colOff>285750</xdr:colOff>
          <xdr:row>71</xdr:row>
          <xdr:rowOff>279400</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72</xdr:row>
          <xdr:rowOff>63500</xdr:rowOff>
        </xdr:from>
        <xdr:to>
          <xdr:col>2</xdr:col>
          <xdr:colOff>285750</xdr:colOff>
          <xdr:row>72</xdr:row>
          <xdr:rowOff>279400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72</xdr:row>
          <xdr:rowOff>63500</xdr:rowOff>
        </xdr:from>
        <xdr:to>
          <xdr:col>3</xdr:col>
          <xdr:colOff>285750</xdr:colOff>
          <xdr:row>72</xdr:row>
          <xdr:rowOff>279400</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72</xdr:row>
          <xdr:rowOff>63500</xdr:rowOff>
        </xdr:from>
        <xdr:to>
          <xdr:col>4</xdr:col>
          <xdr:colOff>285750</xdr:colOff>
          <xdr:row>72</xdr:row>
          <xdr:rowOff>279400</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72</xdr:row>
          <xdr:rowOff>63500</xdr:rowOff>
        </xdr:from>
        <xdr:to>
          <xdr:col>5</xdr:col>
          <xdr:colOff>285750</xdr:colOff>
          <xdr:row>72</xdr:row>
          <xdr:rowOff>279400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72</xdr:row>
          <xdr:rowOff>63500</xdr:rowOff>
        </xdr:from>
        <xdr:to>
          <xdr:col>6</xdr:col>
          <xdr:colOff>285750</xdr:colOff>
          <xdr:row>72</xdr:row>
          <xdr:rowOff>279400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72</xdr:row>
          <xdr:rowOff>63500</xdr:rowOff>
        </xdr:from>
        <xdr:to>
          <xdr:col>7</xdr:col>
          <xdr:colOff>285750</xdr:colOff>
          <xdr:row>72</xdr:row>
          <xdr:rowOff>279400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72</xdr:row>
          <xdr:rowOff>63500</xdr:rowOff>
        </xdr:from>
        <xdr:to>
          <xdr:col>8</xdr:col>
          <xdr:colOff>285750</xdr:colOff>
          <xdr:row>72</xdr:row>
          <xdr:rowOff>279400</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73</xdr:row>
          <xdr:rowOff>63500</xdr:rowOff>
        </xdr:from>
        <xdr:to>
          <xdr:col>2</xdr:col>
          <xdr:colOff>285750</xdr:colOff>
          <xdr:row>73</xdr:row>
          <xdr:rowOff>279400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73</xdr:row>
          <xdr:rowOff>63500</xdr:rowOff>
        </xdr:from>
        <xdr:to>
          <xdr:col>3</xdr:col>
          <xdr:colOff>285750</xdr:colOff>
          <xdr:row>73</xdr:row>
          <xdr:rowOff>279400</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73</xdr:row>
          <xdr:rowOff>63500</xdr:rowOff>
        </xdr:from>
        <xdr:to>
          <xdr:col>4</xdr:col>
          <xdr:colOff>285750</xdr:colOff>
          <xdr:row>73</xdr:row>
          <xdr:rowOff>279400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73</xdr:row>
          <xdr:rowOff>63500</xdr:rowOff>
        </xdr:from>
        <xdr:to>
          <xdr:col>5</xdr:col>
          <xdr:colOff>285750</xdr:colOff>
          <xdr:row>73</xdr:row>
          <xdr:rowOff>279400</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73</xdr:row>
          <xdr:rowOff>63500</xdr:rowOff>
        </xdr:from>
        <xdr:to>
          <xdr:col>6</xdr:col>
          <xdr:colOff>285750</xdr:colOff>
          <xdr:row>73</xdr:row>
          <xdr:rowOff>279400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73</xdr:row>
          <xdr:rowOff>63500</xdr:rowOff>
        </xdr:from>
        <xdr:to>
          <xdr:col>7</xdr:col>
          <xdr:colOff>285750</xdr:colOff>
          <xdr:row>73</xdr:row>
          <xdr:rowOff>279400</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73</xdr:row>
          <xdr:rowOff>63500</xdr:rowOff>
        </xdr:from>
        <xdr:to>
          <xdr:col>8</xdr:col>
          <xdr:colOff>285750</xdr:colOff>
          <xdr:row>73</xdr:row>
          <xdr:rowOff>279400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74</xdr:row>
          <xdr:rowOff>63500</xdr:rowOff>
        </xdr:from>
        <xdr:to>
          <xdr:col>2</xdr:col>
          <xdr:colOff>285750</xdr:colOff>
          <xdr:row>74</xdr:row>
          <xdr:rowOff>279400</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74</xdr:row>
          <xdr:rowOff>63500</xdr:rowOff>
        </xdr:from>
        <xdr:to>
          <xdr:col>3</xdr:col>
          <xdr:colOff>285750</xdr:colOff>
          <xdr:row>74</xdr:row>
          <xdr:rowOff>279400</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74</xdr:row>
          <xdr:rowOff>63500</xdr:rowOff>
        </xdr:from>
        <xdr:to>
          <xdr:col>4</xdr:col>
          <xdr:colOff>285750</xdr:colOff>
          <xdr:row>74</xdr:row>
          <xdr:rowOff>279400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74</xdr:row>
          <xdr:rowOff>63500</xdr:rowOff>
        </xdr:from>
        <xdr:to>
          <xdr:col>5</xdr:col>
          <xdr:colOff>285750</xdr:colOff>
          <xdr:row>74</xdr:row>
          <xdr:rowOff>279400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74</xdr:row>
          <xdr:rowOff>63500</xdr:rowOff>
        </xdr:from>
        <xdr:to>
          <xdr:col>6</xdr:col>
          <xdr:colOff>285750</xdr:colOff>
          <xdr:row>74</xdr:row>
          <xdr:rowOff>279400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74</xdr:row>
          <xdr:rowOff>63500</xdr:rowOff>
        </xdr:from>
        <xdr:to>
          <xdr:col>7</xdr:col>
          <xdr:colOff>285750</xdr:colOff>
          <xdr:row>74</xdr:row>
          <xdr:rowOff>279400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74</xdr:row>
          <xdr:rowOff>63500</xdr:rowOff>
        </xdr:from>
        <xdr:to>
          <xdr:col>8</xdr:col>
          <xdr:colOff>285750</xdr:colOff>
          <xdr:row>74</xdr:row>
          <xdr:rowOff>279400</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75</xdr:row>
          <xdr:rowOff>63500</xdr:rowOff>
        </xdr:from>
        <xdr:to>
          <xdr:col>2</xdr:col>
          <xdr:colOff>285750</xdr:colOff>
          <xdr:row>75</xdr:row>
          <xdr:rowOff>279400</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75</xdr:row>
          <xdr:rowOff>63500</xdr:rowOff>
        </xdr:from>
        <xdr:to>
          <xdr:col>3</xdr:col>
          <xdr:colOff>285750</xdr:colOff>
          <xdr:row>75</xdr:row>
          <xdr:rowOff>279400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75</xdr:row>
          <xdr:rowOff>63500</xdr:rowOff>
        </xdr:from>
        <xdr:to>
          <xdr:col>4</xdr:col>
          <xdr:colOff>285750</xdr:colOff>
          <xdr:row>75</xdr:row>
          <xdr:rowOff>279400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75</xdr:row>
          <xdr:rowOff>63500</xdr:rowOff>
        </xdr:from>
        <xdr:to>
          <xdr:col>5</xdr:col>
          <xdr:colOff>285750</xdr:colOff>
          <xdr:row>75</xdr:row>
          <xdr:rowOff>279400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75</xdr:row>
          <xdr:rowOff>63500</xdr:rowOff>
        </xdr:from>
        <xdr:to>
          <xdr:col>6</xdr:col>
          <xdr:colOff>285750</xdr:colOff>
          <xdr:row>75</xdr:row>
          <xdr:rowOff>279400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75</xdr:row>
          <xdr:rowOff>63500</xdr:rowOff>
        </xdr:from>
        <xdr:to>
          <xdr:col>7</xdr:col>
          <xdr:colOff>285750</xdr:colOff>
          <xdr:row>75</xdr:row>
          <xdr:rowOff>279400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75</xdr:row>
          <xdr:rowOff>63500</xdr:rowOff>
        </xdr:from>
        <xdr:to>
          <xdr:col>8</xdr:col>
          <xdr:colOff>285750</xdr:colOff>
          <xdr:row>75</xdr:row>
          <xdr:rowOff>279400</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77</xdr:row>
          <xdr:rowOff>63500</xdr:rowOff>
        </xdr:from>
        <xdr:to>
          <xdr:col>2</xdr:col>
          <xdr:colOff>285750</xdr:colOff>
          <xdr:row>77</xdr:row>
          <xdr:rowOff>279400</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77</xdr:row>
          <xdr:rowOff>63500</xdr:rowOff>
        </xdr:from>
        <xdr:to>
          <xdr:col>3</xdr:col>
          <xdr:colOff>285750</xdr:colOff>
          <xdr:row>77</xdr:row>
          <xdr:rowOff>279400</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77</xdr:row>
          <xdr:rowOff>63500</xdr:rowOff>
        </xdr:from>
        <xdr:to>
          <xdr:col>4</xdr:col>
          <xdr:colOff>285750</xdr:colOff>
          <xdr:row>77</xdr:row>
          <xdr:rowOff>279400</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77</xdr:row>
          <xdr:rowOff>63500</xdr:rowOff>
        </xdr:from>
        <xdr:to>
          <xdr:col>5</xdr:col>
          <xdr:colOff>285750</xdr:colOff>
          <xdr:row>77</xdr:row>
          <xdr:rowOff>279400</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77</xdr:row>
          <xdr:rowOff>63500</xdr:rowOff>
        </xdr:from>
        <xdr:to>
          <xdr:col>6</xdr:col>
          <xdr:colOff>285750</xdr:colOff>
          <xdr:row>77</xdr:row>
          <xdr:rowOff>279400</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77</xdr:row>
          <xdr:rowOff>63500</xdr:rowOff>
        </xdr:from>
        <xdr:to>
          <xdr:col>7</xdr:col>
          <xdr:colOff>285750</xdr:colOff>
          <xdr:row>77</xdr:row>
          <xdr:rowOff>279400</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77</xdr:row>
          <xdr:rowOff>63500</xdr:rowOff>
        </xdr:from>
        <xdr:to>
          <xdr:col>8</xdr:col>
          <xdr:colOff>285750</xdr:colOff>
          <xdr:row>77</xdr:row>
          <xdr:rowOff>279400</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78</xdr:row>
          <xdr:rowOff>63500</xdr:rowOff>
        </xdr:from>
        <xdr:to>
          <xdr:col>2</xdr:col>
          <xdr:colOff>285750</xdr:colOff>
          <xdr:row>78</xdr:row>
          <xdr:rowOff>279400</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78</xdr:row>
          <xdr:rowOff>63500</xdr:rowOff>
        </xdr:from>
        <xdr:to>
          <xdr:col>3</xdr:col>
          <xdr:colOff>285750</xdr:colOff>
          <xdr:row>78</xdr:row>
          <xdr:rowOff>279400</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78</xdr:row>
          <xdr:rowOff>63500</xdr:rowOff>
        </xdr:from>
        <xdr:to>
          <xdr:col>4</xdr:col>
          <xdr:colOff>285750</xdr:colOff>
          <xdr:row>78</xdr:row>
          <xdr:rowOff>279400</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78</xdr:row>
          <xdr:rowOff>63500</xdr:rowOff>
        </xdr:from>
        <xdr:to>
          <xdr:col>5</xdr:col>
          <xdr:colOff>285750</xdr:colOff>
          <xdr:row>78</xdr:row>
          <xdr:rowOff>279400</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78</xdr:row>
          <xdr:rowOff>63500</xdr:rowOff>
        </xdr:from>
        <xdr:to>
          <xdr:col>6</xdr:col>
          <xdr:colOff>285750</xdr:colOff>
          <xdr:row>78</xdr:row>
          <xdr:rowOff>279400</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78</xdr:row>
          <xdr:rowOff>63500</xdr:rowOff>
        </xdr:from>
        <xdr:to>
          <xdr:col>7</xdr:col>
          <xdr:colOff>285750</xdr:colOff>
          <xdr:row>78</xdr:row>
          <xdr:rowOff>279400</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78</xdr:row>
          <xdr:rowOff>63500</xdr:rowOff>
        </xdr:from>
        <xdr:to>
          <xdr:col>8</xdr:col>
          <xdr:colOff>285750</xdr:colOff>
          <xdr:row>78</xdr:row>
          <xdr:rowOff>279400</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79</xdr:row>
          <xdr:rowOff>63500</xdr:rowOff>
        </xdr:from>
        <xdr:to>
          <xdr:col>2</xdr:col>
          <xdr:colOff>285750</xdr:colOff>
          <xdr:row>79</xdr:row>
          <xdr:rowOff>279400</xdr:rowOff>
        </xdr:to>
        <xdr:sp macro="" textlink="">
          <xdr:nvSpPr>
            <xdr:cNvPr id="1464" name="Check Box 440" hidden="1">
              <a:extLst>
                <a:ext uri="{63B3BB69-23CF-44E3-9099-C40C66FF867C}">
                  <a14:compatExt spid="_x0000_s1464"/>
                </a:ext>
                <a:ext uri="{FF2B5EF4-FFF2-40B4-BE49-F238E27FC236}">
                  <a16:creationId xmlns:a16="http://schemas.microsoft.com/office/drawing/2014/main" id="{00000000-0008-0000-0000-0000B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79</xdr:row>
          <xdr:rowOff>63500</xdr:rowOff>
        </xdr:from>
        <xdr:to>
          <xdr:col>3</xdr:col>
          <xdr:colOff>285750</xdr:colOff>
          <xdr:row>79</xdr:row>
          <xdr:rowOff>279400</xdr:rowOff>
        </xdr:to>
        <xdr:sp macro="" textlink="">
          <xdr:nvSpPr>
            <xdr:cNvPr id="1465" name="Check Box 441"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79</xdr:row>
          <xdr:rowOff>63500</xdr:rowOff>
        </xdr:from>
        <xdr:to>
          <xdr:col>4</xdr:col>
          <xdr:colOff>285750</xdr:colOff>
          <xdr:row>79</xdr:row>
          <xdr:rowOff>279400</xdr:rowOff>
        </xdr:to>
        <xdr:sp macro="" textlink="">
          <xdr:nvSpPr>
            <xdr:cNvPr id="1466" name="Check Box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79</xdr:row>
          <xdr:rowOff>63500</xdr:rowOff>
        </xdr:from>
        <xdr:to>
          <xdr:col>5</xdr:col>
          <xdr:colOff>285750</xdr:colOff>
          <xdr:row>79</xdr:row>
          <xdr:rowOff>279400</xdr:rowOff>
        </xdr:to>
        <xdr:sp macro="" textlink="">
          <xdr:nvSpPr>
            <xdr:cNvPr id="1467" name="Check Box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79</xdr:row>
          <xdr:rowOff>63500</xdr:rowOff>
        </xdr:from>
        <xdr:to>
          <xdr:col>6</xdr:col>
          <xdr:colOff>285750</xdr:colOff>
          <xdr:row>79</xdr:row>
          <xdr:rowOff>279400</xdr:rowOff>
        </xdr:to>
        <xdr:sp macro="" textlink="">
          <xdr:nvSpPr>
            <xdr:cNvPr id="1468" name="Check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79</xdr:row>
          <xdr:rowOff>63500</xdr:rowOff>
        </xdr:from>
        <xdr:to>
          <xdr:col>7</xdr:col>
          <xdr:colOff>285750</xdr:colOff>
          <xdr:row>79</xdr:row>
          <xdr:rowOff>279400</xdr:rowOff>
        </xdr:to>
        <xdr:sp macro="" textlink="">
          <xdr:nvSpPr>
            <xdr:cNvPr id="1469" name="Check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79</xdr:row>
          <xdr:rowOff>63500</xdr:rowOff>
        </xdr:from>
        <xdr:to>
          <xdr:col>8</xdr:col>
          <xdr:colOff>285750</xdr:colOff>
          <xdr:row>79</xdr:row>
          <xdr:rowOff>279400</xdr:rowOff>
        </xdr:to>
        <xdr:sp macro="" textlink="">
          <xdr:nvSpPr>
            <xdr:cNvPr id="1470" name="Check Box 446" hidden="1">
              <a:extLst>
                <a:ext uri="{63B3BB69-23CF-44E3-9099-C40C66FF867C}">
                  <a14:compatExt spid="_x0000_s1470"/>
                </a:ext>
                <a:ext uri="{FF2B5EF4-FFF2-40B4-BE49-F238E27FC236}">
                  <a16:creationId xmlns:a16="http://schemas.microsoft.com/office/drawing/2014/main" id="{00000000-0008-0000-0000-0000B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80</xdr:row>
          <xdr:rowOff>63500</xdr:rowOff>
        </xdr:from>
        <xdr:to>
          <xdr:col>2</xdr:col>
          <xdr:colOff>285750</xdr:colOff>
          <xdr:row>80</xdr:row>
          <xdr:rowOff>279400</xdr:rowOff>
        </xdr:to>
        <xdr:sp macro="" textlink="">
          <xdr:nvSpPr>
            <xdr:cNvPr id="1471" name="Check Box 447" hidden="1">
              <a:extLst>
                <a:ext uri="{63B3BB69-23CF-44E3-9099-C40C66FF867C}">
                  <a14:compatExt spid="_x0000_s1471"/>
                </a:ext>
                <a:ext uri="{FF2B5EF4-FFF2-40B4-BE49-F238E27FC236}">
                  <a16:creationId xmlns:a16="http://schemas.microsoft.com/office/drawing/2014/main" id="{00000000-0008-0000-0000-0000B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80</xdr:row>
          <xdr:rowOff>63500</xdr:rowOff>
        </xdr:from>
        <xdr:to>
          <xdr:col>3</xdr:col>
          <xdr:colOff>285750</xdr:colOff>
          <xdr:row>80</xdr:row>
          <xdr:rowOff>279400</xdr:rowOff>
        </xdr:to>
        <xdr:sp macro="" textlink="">
          <xdr:nvSpPr>
            <xdr:cNvPr id="1472" name="Check Box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80</xdr:row>
          <xdr:rowOff>63500</xdr:rowOff>
        </xdr:from>
        <xdr:to>
          <xdr:col>4</xdr:col>
          <xdr:colOff>285750</xdr:colOff>
          <xdr:row>80</xdr:row>
          <xdr:rowOff>279400</xdr:rowOff>
        </xdr:to>
        <xdr:sp macro="" textlink="">
          <xdr:nvSpPr>
            <xdr:cNvPr id="1473" name="Check Box 449" hidden="1">
              <a:extLst>
                <a:ext uri="{63B3BB69-23CF-44E3-9099-C40C66FF867C}">
                  <a14:compatExt spid="_x0000_s1473"/>
                </a:ext>
                <a:ext uri="{FF2B5EF4-FFF2-40B4-BE49-F238E27FC236}">
                  <a16:creationId xmlns:a16="http://schemas.microsoft.com/office/drawing/2014/main" id="{00000000-0008-0000-0000-0000C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80</xdr:row>
          <xdr:rowOff>63500</xdr:rowOff>
        </xdr:from>
        <xdr:to>
          <xdr:col>5</xdr:col>
          <xdr:colOff>285750</xdr:colOff>
          <xdr:row>80</xdr:row>
          <xdr:rowOff>279400</xdr:rowOff>
        </xdr:to>
        <xdr:sp macro="" textlink="">
          <xdr:nvSpPr>
            <xdr:cNvPr id="1474" name="Check Box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80</xdr:row>
          <xdr:rowOff>63500</xdr:rowOff>
        </xdr:from>
        <xdr:to>
          <xdr:col>6</xdr:col>
          <xdr:colOff>285750</xdr:colOff>
          <xdr:row>80</xdr:row>
          <xdr:rowOff>279400</xdr:rowOff>
        </xdr:to>
        <xdr:sp macro="" textlink="">
          <xdr:nvSpPr>
            <xdr:cNvPr id="1475" name="Check Box 451" hidden="1">
              <a:extLst>
                <a:ext uri="{63B3BB69-23CF-44E3-9099-C40C66FF867C}">
                  <a14:compatExt spid="_x0000_s1475"/>
                </a:ext>
                <a:ext uri="{FF2B5EF4-FFF2-40B4-BE49-F238E27FC236}">
                  <a16:creationId xmlns:a16="http://schemas.microsoft.com/office/drawing/2014/main" id="{00000000-0008-0000-0000-0000C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80</xdr:row>
          <xdr:rowOff>63500</xdr:rowOff>
        </xdr:from>
        <xdr:to>
          <xdr:col>7</xdr:col>
          <xdr:colOff>285750</xdr:colOff>
          <xdr:row>80</xdr:row>
          <xdr:rowOff>279400</xdr:rowOff>
        </xdr:to>
        <xdr:sp macro="" textlink="">
          <xdr:nvSpPr>
            <xdr:cNvPr id="1476" name="Check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80</xdr:row>
          <xdr:rowOff>63500</xdr:rowOff>
        </xdr:from>
        <xdr:to>
          <xdr:col>8</xdr:col>
          <xdr:colOff>285750</xdr:colOff>
          <xdr:row>80</xdr:row>
          <xdr:rowOff>279400</xdr:rowOff>
        </xdr:to>
        <xdr:sp macro="" textlink="">
          <xdr:nvSpPr>
            <xdr:cNvPr id="1477" name="Check Box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81</xdr:row>
          <xdr:rowOff>63500</xdr:rowOff>
        </xdr:from>
        <xdr:to>
          <xdr:col>2</xdr:col>
          <xdr:colOff>285750</xdr:colOff>
          <xdr:row>81</xdr:row>
          <xdr:rowOff>279400</xdr:rowOff>
        </xdr:to>
        <xdr:sp macro="" textlink="">
          <xdr:nvSpPr>
            <xdr:cNvPr id="1478" name="Check Box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81</xdr:row>
          <xdr:rowOff>63500</xdr:rowOff>
        </xdr:from>
        <xdr:to>
          <xdr:col>3</xdr:col>
          <xdr:colOff>285750</xdr:colOff>
          <xdr:row>81</xdr:row>
          <xdr:rowOff>279400</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81</xdr:row>
          <xdr:rowOff>63500</xdr:rowOff>
        </xdr:from>
        <xdr:to>
          <xdr:col>4</xdr:col>
          <xdr:colOff>285750</xdr:colOff>
          <xdr:row>81</xdr:row>
          <xdr:rowOff>279400</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81</xdr:row>
          <xdr:rowOff>63500</xdr:rowOff>
        </xdr:from>
        <xdr:to>
          <xdr:col>5</xdr:col>
          <xdr:colOff>285750</xdr:colOff>
          <xdr:row>81</xdr:row>
          <xdr:rowOff>279400</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81</xdr:row>
          <xdr:rowOff>63500</xdr:rowOff>
        </xdr:from>
        <xdr:to>
          <xdr:col>6</xdr:col>
          <xdr:colOff>285750</xdr:colOff>
          <xdr:row>81</xdr:row>
          <xdr:rowOff>279400</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81</xdr:row>
          <xdr:rowOff>63500</xdr:rowOff>
        </xdr:from>
        <xdr:to>
          <xdr:col>7</xdr:col>
          <xdr:colOff>285750</xdr:colOff>
          <xdr:row>81</xdr:row>
          <xdr:rowOff>279400</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81</xdr:row>
          <xdr:rowOff>63500</xdr:rowOff>
        </xdr:from>
        <xdr:to>
          <xdr:col>8</xdr:col>
          <xdr:colOff>285750</xdr:colOff>
          <xdr:row>81</xdr:row>
          <xdr:rowOff>279400</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83</xdr:row>
          <xdr:rowOff>63500</xdr:rowOff>
        </xdr:from>
        <xdr:to>
          <xdr:col>2</xdr:col>
          <xdr:colOff>285750</xdr:colOff>
          <xdr:row>83</xdr:row>
          <xdr:rowOff>279400</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83</xdr:row>
          <xdr:rowOff>63500</xdr:rowOff>
        </xdr:from>
        <xdr:to>
          <xdr:col>3</xdr:col>
          <xdr:colOff>285750</xdr:colOff>
          <xdr:row>83</xdr:row>
          <xdr:rowOff>279400</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83</xdr:row>
          <xdr:rowOff>63500</xdr:rowOff>
        </xdr:from>
        <xdr:to>
          <xdr:col>4</xdr:col>
          <xdr:colOff>285750</xdr:colOff>
          <xdr:row>83</xdr:row>
          <xdr:rowOff>279400</xdr:rowOff>
        </xdr:to>
        <xdr:sp macro="" textlink="">
          <xdr:nvSpPr>
            <xdr:cNvPr id="1487" name="Check Box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83</xdr:row>
          <xdr:rowOff>63500</xdr:rowOff>
        </xdr:from>
        <xdr:to>
          <xdr:col>5</xdr:col>
          <xdr:colOff>285750</xdr:colOff>
          <xdr:row>83</xdr:row>
          <xdr:rowOff>279400</xdr:rowOff>
        </xdr:to>
        <xdr:sp macro="" textlink="">
          <xdr:nvSpPr>
            <xdr:cNvPr id="1488" name="Check Box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83</xdr:row>
          <xdr:rowOff>63500</xdr:rowOff>
        </xdr:from>
        <xdr:to>
          <xdr:col>6</xdr:col>
          <xdr:colOff>285750</xdr:colOff>
          <xdr:row>83</xdr:row>
          <xdr:rowOff>279400</xdr:rowOff>
        </xdr:to>
        <xdr:sp macro="" textlink="">
          <xdr:nvSpPr>
            <xdr:cNvPr id="1489" name="Check Box 465" hidden="1">
              <a:extLst>
                <a:ext uri="{63B3BB69-23CF-44E3-9099-C40C66FF867C}">
                  <a14:compatExt spid="_x0000_s1489"/>
                </a:ext>
                <a:ext uri="{FF2B5EF4-FFF2-40B4-BE49-F238E27FC236}">
                  <a16:creationId xmlns:a16="http://schemas.microsoft.com/office/drawing/2014/main" id="{00000000-0008-0000-0000-0000D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83</xdr:row>
          <xdr:rowOff>63500</xdr:rowOff>
        </xdr:from>
        <xdr:to>
          <xdr:col>7</xdr:col>
          <xdr:colOff>285750</xdr:colOff>
          <xdr:row>83</xdr:row>
          <xdr:rowOff>279400</xdr:rowOff>
        </xdr:to>
        <xdr:sp macro="" textlink="">
          <xdr:nvSpPr>
            <xdr:cNvPr id="1490" name="Check Box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83</xdr:row>
          <xdr:rowOff>63500</xdr:rowOff>
        </xdr:from>
        <xdr:to>
          <xdr:col>8</xdr:col>
          <xdr:colOff>285750</xdr:colOff>
          <xdr:row>83</xdr:row>
          <xdr:rowOff>279400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84</xdr:row>
          <xdr:rowOff>63500</xdr:rowOff>
        </xdr:from>
        <xdr:to>
          <xdr:col>2</xdr:col>
          <xdr:colOff>285750</xdr:colOff>
          <xdr:row>84</xdr:row>
          <xdr:rowOff>279400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84</xdr:row>
          <xdr:rowOff>63500</xdr:rowOff>
        </xdr:from>
        <xdr:to>
          <xdr:col>3</xdr:col>
          <xdr:colOff>285750</xdr:colOff>
          <xdr:row>84</xdr:row>
          <xdr:rowOff>279400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84</xdr:row>
          <xdr:rowOff>63500</xdr:rowOff>
        </xdr:from>
        <xdr:to>
          <xdr:col>4</xdr:col>
          <xdr:colOff>285750</xdr:colOff>
          <xdr:row>84</xdr:row>
          <xdr:rowOff>279400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84</xdr:row>
          <xdr:rowOff>63500</xdr:rowOff>
        </xdr:from>
        <xdr:to>
          <xdr:col>5</xdr:col>
          <xdr:colOff>285750</xdr:colOff>
          <xdr:row>84</xdr:row>
          <xdr:rowOff>279400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84</xdr:row>
          <xdr:rowOff>63500</xdr:rowOff>
        </xdr:from>
        <xdr:to>
          <xdr:col>6</xdr:col>
          <xdr:colOff>285750</xdr:colOff>
          <xdr:row>84</xdr:row>
          <xdr:rowOff>279400</xdr:rowOff>
        </xdr:to>
        <xdr:sp macro="" textlink="">
          <xdr:nvSpPr>
            <xdr:cNvPr id="1496" name="Check Box 472"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84</xdr:row>
          <xdr:rowOff>63500</xdr:rowOff>
        </xdr:from>
        <xdr:to>
          <xdr:col>7</xdr:col>
          <xdr:colOff>285750</xdr:colOff>
          <xdr:row>84</xdr:row>
          <xdr:rowOff>279400</xdr:rowOff>
        </xdr:to>
        <xdr:sp macro="" textlink="">
          <xdr:nvSpPr>
            <xdr:cNvPr id="1497" name="Check Box 473"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84</xdr:row>
          <xdr:rowOff>63500</xdr:rowOff>
        </xdr:from>
        <xdr:to>
          <xdr:col>8</xdr:col>
          <xdr:colOff>285750</xdr:colOff>
          <xdr:row>84</xdr:row>
          <xdr:rowOff>279400</xdr:rowOff>
        </xdr:to>
        <xdr:sp macro="" textlink="">
          <xdr:nvSpPr>
            <xdr:cNvPr id="1498" name="Check Box 474" hidden="1">
              <a:extLst>
                <a:ext uri="{63B3BB69-23CF-44E3-9099-C40C66FF867C}">
                  <a14:compatExt spid="_x0000_s1498"/>
                </a:ext>
                <a:ext uri="{FF2B5EF4-FFF2-40B4-BE49-F238E27FC236}">
                  <a16:creationId xmlns:a16="http://schemas.microsoft.com/office/drawing/2014/main" id="{00000000-0008-0000-0000-0000D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85</xdr:row>
          <xdr:rowOff>63500</xdr:rowOff>
        </xdr:from>
        <xdr:to>
          <xdr:col>2</xdr:col>
          <xdr:colOff>285750</xdr:colOff>
          <xdr:row>85</xdr:row>
          <xdr:rowOff>279400</xdr:rowOff>
        </xdr:to>
        <xdr:sp macro="" textlink="">
          <xdr:nvSpPr>
            <xdr:cNvPr id="1499" name="Check Box 475" hidden="1">
              <a:extLst>
                <a:ext uri="{63B3BB69-23CF-44E3-9099-C40C66FF867C}">
                  <a14:compatExt spid="_x0000_s1499"/>
                </a:ext>
                <a:ext uri="{FF2B5EF4-FFF2-40B4-BE49-F238E27FC236}">
                  <a16:creationId xmlns:a16="http://schemas.microsoft.com/office/drawing/2014/main" id="{00000000-0008-0000-0000-0000D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85</xdr:row>
          <xdr:rowOff>63500</xdr:rowOff>
        </xdr:from>
        <xdr:to>
          <xdr:col>3</xdr:col>
          <xdr:colOff>285750</xdr:colOff>
          <xdr:row>85</xdr:row>
          <xdr:rowOff>279400</xdr:rowOff>
        </xdr:to>
        <xdr:sp macro="" textlink="">
          <xdr:nvSpPr>
            <xdr:cNvPr id="1500" name="Check Box 476" hidden="1">
              <a:extLst>
                <a:ext uri="{63B3BB69-23CF-44E3-9099-C40C66FF867C}">
                  <a14:compatExt spid="_x0000_s1500"/>
                </a:ext>
                <a:ext uri="{FF2B5EF4-FFF2-40B4-BE49-F238E27FC236}">
                  <a16:creationId xmlns:a16="http://schemas.microsoft.com/office/drawing/2014/main" id="{00000000-0008-0000-0000-0000D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85</xdr:row>
          <xdr:rowOff>63500</xdr:rowOff>
        </xdr:from>
        <xdr:to>
          <xdr:col>4</xdr:col>
          <xdr:colOff>285750</xdr:colOff>
          <xdr:row>85</xdr:row>
          <xdr:rowOff>279400</xdr:rowOff>
        </xdr:to>
        <xdr:sp macro="" textlink="">
          <xdr:nvSpPr>
            <xdr:cNvPr id="1501" name="Check Box 477" hidden="1">
              <a:extLst>
                <a:ext uri="{63B3BB69-23CF-44E3-9099-C40C66FF867C}">
                  <a14:compatExt spid="_x0000_s1501"/>
                </a:ext>
                <a:ext uri="{FF2B5EF4-FFF2-40B4-BE49-F238E27FC236}">
                  <a16:creationId xmlns:a16="http://schemas.microsoft.com/office/drawing/2014/main" id="{00000000-0008-0000-0000-0000D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85</xdr:row>
          <xdr:rowOff>63500</xdr:rowOff>
        </xdr:from>
        <xdr:to>
          <xdr:col>5</xdr:col>
          <xdr:colOff>285750</xdr:colOff>
          <xdr:row>85</xdr:row>
          <xdr:rowOff>279400</xdr:rowOff>
        </xdr:to>
        <xdr:sp macro="" textlink="">
          <xdr:nvSpPr>
            <xdr:cNvPr id="1502" name="Check Box 478" hidden="1">
              <a:extLst>
                <a:ext uri="{63B3BB69-23CF-44E3-9099-C40C66FF867C}">
                  <a14:compatExt spid="_x0000_s1502"/>
                </a:ext>
                <a:ext uri="{FF2B5EF4-FFF2-40B4-BE49-F238E27FC236}">
                  <a16:creationId xmlns:a16="http://schemas.microsoft.com/office/drawing/2014/main" id="{00000000-0008-0000-0000-0000D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85</xdr:row>
          <xdr:rowOff>63500</xdr:rowOff>
        </xdr:from>
        <xdr:to>
          <xdr:col>6</xdr:col>
          <xdr:colOff>285750</xdr:colOff>
          <xdr:row>85</xdr:row>
          <xdr:rowOff>279400</xdr:rowOff>
        </xdr:to>
        <xdr:sp macro="" textlink="">
          <xdr:nvSpPr>
            <xdr:cNvPr id="1503" name="Check Box 479"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85</xdr:row>
          <xdr:rowOff>63500</xdr:rowOff>
        </xdr:from>
        <xdr:to>
          <xdr:col>7</xdr:col>
          <xdr:colOff>285750</xdr:colOff>
          <xdr:row>85</xdr:row>
          <xdr:rowOff>279400</xdr:rowOff>
        </xdr:to>
        <xdr:sp macro="" textlink="">
          <xdr:nvSpPr>
            <xdr:cNvPr id="1504" name="Check Box 480"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85</xdr:row>
          <xdr:rowOff>63500</xdr:rowOff>
        </xdr:from>
        <xdr:to>
          <xdr:col>8</xdr:col>
          <xdr:colOff>285750</xdr:colOff>
          <xdr:row>85</xdr:row>
          <xdr:rowOff>279400</xdr:rowOff>
        </xdr:to>
        <xdr:sp macro="" textlink="">
          <xdr:nvSpPr>
            <xdr:cNvPr id="1505" name="Check Box 481"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86</xdr:row>
          <xdr:rowOff>63500</xdr:rowOff>
        </xdr:from>
        <xdr:to>
          <xdr:col>2</xdr:col>
          <xdr:colOff>285750</xdr:colOff>
          <xdr:row>86</xdr:row>
          <xdr:rowOff>279400</xdr:rowOff>
        </xdr:to>
        <xdr:sp macro="" textlink="">
          <xdr:nvSpPr>
            <xdr:cNvPr id="1506" name="Check Box 482"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86</xdr:row>
          <xdr:rowOff>63500</xdr:rowOff>
        </xdr:from>
        <xdr:to>
          <xdr:col>3</xdr:col>
          <xdr:colOff>285750</xdr:colOff>
          <xdr:row>86</xdr:row>
          <xdr:rowOff>279400</xdr:rowOff>
        </xdr:to>
        <xdr:sp macro="" textlink="">
          <xdr:nvSpPr>
            <xdr:cNvPr id="1507" name="Check Box 483" hidden="1">
              <a:extLst>
                <a:ext uri="{63B3BB69-23CF-44E3-9099-C40C66FF867C}">
                  <a14:compatExt spid="_x0000_s1507"/>
                </a:ext>
                <a:ext uri="{FF2B5EF4-FFF2-40B4-BE49-F238E27FC236}">
                  <a16:creationId xmlns:a16="http://schemas.microsoft.com/office/drawing/2014/main" id="{00000000-0008-0000-0000-0000E3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86</xdr:row>
          <xdr:rowOff>63500</xdr:rowOff>
        </xdr:from>
        <xdr:to>
          <xdr:col>4</xdr:col>
          <xdr:colOff>285750</xdr:colOff>
          <xdr:row>86</xdr:row>
          <xdr:rowOff>279400</xdr:rowOff>
        </xdr:to>
        <xdr:sp macro="" textlink="">
          <xdr:nvSpPr>
            <xdr:cNvPr id="1508" name="Check Box 484"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86</xdr:row>
          <xdr:rowOff>63500</xdr:rowOff>
        </xdr:from>
        <xdr:to>
          <xdr:col>5</xdr:col>
          <xdr:colOff>285750</xdr:colOff>
          <xdr:row>86</xdr:row>
          <xdr:rowOff>279400</xdr:rowOff>
        </xdr:to>
        <xdr:sp macro="" textlink="">
          <xdr:nvSpPr>
            <xdr:cNvPr id="1509" name="Check Box 485"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86</xdr:row>
          <xdr:rowOff>63500</xdr:rowOff>
        </xdr:from>
        <xdr:to>
          <xdr:col>6</xdr:col>
          <xdr:colOff>285750</xdr:colOff>
          <xdr:row>86</xdr:row>
          <xdr:rowOff>279400</xdr:rowOff>
        </xdr:to>
        <xdr:sp macro="" textlink="">
          <xdr:nvSpPr>
            <xdr:cNvPr id="1510" name="Check Box 486"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86</xdr:row>
          <xdr:rowOff>63500</xdr:rowOff>
        </xdr:from>
        <xdr:to>
          <xdr:col>7</xdr:col>
          <xdr:colOff>285750</xdr:colOff>
          <xdr:row>86</xdr:row>
          <xdr:rowOff>279400</xdr:rowOff>
        </xdr:to>
        <xdr:sp macro="" textlink="">
          <xdr:nvSpPr>
            <xdr:cNvPr id="1511" name="Check Box 487" hidden="1">
              <a:extLst>
                <a:ext uri="{63B3BB69-23CF-44E3-9099-C40C66FF867C}">
                  <a14:compatExt spid="_x0000_s1511"/>
                </a:ext>
                <a:ext uri="{FF2B5EF4-FFF2-40B4-BE49-F238E27FC236}">
                  <a16:creationId xmlns:a16="http://schemas.microsoft.com/office/drawing/2014/main" id="{00000000-0008-0000-0000-0000E7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86</xdr:row>
          <xdr:rowOff>63500</xdr:rowOff>
        </xdr:from>
        <xdr:to>
          <xdr:col>8</xdr:col>
          <xdr:colOff>285750</xdr:colOff>
          <xdr:row>86</xdr:row>
          <xdr:rowOff>279400</xdr:rowOff>
        </xdr:to>
        <xdr:sp macro="" textlink="">
          <xdr:nvSpPr>
            <xdr:cNvPr id="1512" name="Check Box 488" hidden="1">
              <a:extLst>
                <a:ext uri="{63B3BB69-23CF-44E3-9099-C40C66FF867C}">
                  <a14:compatExt spid="_x0000_s1512"/>
                </a:ext>
                <a:ext uri="{FF2B5EF4-FFF2-40B4-BE49-F238E27FC236}">
                  <a16:creationId xmlns:a16="http://schemas.microsoft.com/office/drawing/2014/main" id="{00000000-0008-0000-0000-0000E8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87</xdr:row>
          <xdr:rowOff>63500</xdr:rowOff>
        </xdr:from>
        <xdr:to>
          <xdr:col>2</xdr:col>
          <xdr:colOff>285750</xdr:colOff>
          <xdr:row>87</xdr:row>
          <xdr:rowOff>279400</xdr:rowOff>
        </xdr:to>
        <xdr:sp macro="" textlink="">
          <xdr:nvSpPr>
            <xdr:cNvPr id="1513" name="Check Box 489" hidden="1">
              <a:extLst>
                <a:ext uri="{63B3BB69-23CF-44E3-9099-C40C66FF867C}">
                  <a14:compatExt spid="_x0000_s1513"/>
                </a:ext>
                <a:ext uri="{FF2B5EF4-FFF2-40B4-BE49-F238E27FC236}">
                  <a16:creationId xmlns:a16="http://schemas.microsoft.com/office/drawing/2014/main" id="{00000000-0008-0000-0000-0000E9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87</xdr:row>
          <xdr:rowOff>63500</xdr:rowOff>
        </xdr:from>
        <xdr:to>
          <xdr:col>3</xdr:col>
          <xdr:colOff>285750</xdr:colOff>
          <xdr:row>87</xdr:row>
          <xdr:rowOff>279400</xdr:rowOff>
        </xdr:to>
        <xdr:sp macro="" textlink="">
          <xdr:nvSpPr>
            <xdr:cNvPr id="1514" name="Check Box 490" hidden="1">
              <a:extLst>
                <a:ext uri="{63B3BB69-23CF-44E3-9099-C40C66FF867C}">
                  <a14:compatExt spid="_x0000_s1514"/>
                </a:ext>
                <a:ext uri="{FF2B5EF4-FFF2-40B4-BE49-F238E27FC236}">
                  <a16:creationId xmlns:a16="http://schemas.microsoft.com/office/drawing/2014/main" id="{00000000-0008-0000-0000-0000EA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87</xdr:row>
          <xdr:rowOff>63500</xdr:rowOff>
        </xdr:from>
        <xdr:to>
          <xdr:col>4</xdr:col>
          <xdr:colOff>285750</xdr:colOff>
          <xdr:row>87</xdr:row>
          <xdr:rowOff>279400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88900</xdr:colOff>
          <xdr:row>87</xdr:row>
          <xdr:rowOff>63500</xdr:rowOff>
        </xdr:from>
        <xdr:to>
          <xdr:col>5</xdr:col>
          <xdr:colOff>285750</xdr:colOff>
          <xdr:row>87</xdr:row>
          <xdr:rowOff>279400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88900</xdr:colOff>
          <xdr:row>87</xdr:row>
          <xdr:rowOff>63500</xdr:rowOff>
        </xdr:from>
        <xdr:to>
          <xdr:col>6</xdr:col>
          <xdr:colOff>285750</xdr:colOff>
          <xdr:row>87</xdr:row>
          <xdr:rowOff>279400</xdr:rowOff>
        </xdr:to>
        <xdr:sp macro="" textlink="">
          <xdr:nvSpPr>
            <xdr:cNvPr id="1517" name="Check Box 493" hidden="1">
              <a:extLst>
                <a:ext uri="{63B3BB69-23CF-44E3-9099-C40C66FF867C}">
                  <a14:compatExt spid="_x0000_s1517"/>
                </a:ext>
                <a:ext uri="{FF2B5EF4-FFF2-40B4-BE49-F238E27FC236}">
                  <a16:creationId xmlns:a16="http://schemas.microsoft.com/office/drawing/2014/main" id="{00000000-0008-0000-0000-0000ED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88900</xdr:colOff>
          <xdr:row>87</xdr:row>
          <xdr:rowOff>63500</xdr:rowOff>
        </xdr:from>
        <xdr:to>
          <xdr:col>7</xdr:col>
          <xdr:colOff>285750</xdr:colOff>
          <xdr:row>87</xdr:row>
          <xdr:rowOff>279400</xdr:rowOff>
        </xdr:to>
        <xdr:sp macro="" textlink="">
          <xdr:nvSpPr>
            <xdr:cNvPr id="1518" name="Check Box 494" hidden="1">
              <a:extLst>
                <a:ext uri="{63B3BB69-23CF-44E3-9099-C40C66FF867C}">
                  <a14:compatExt spid="_x0000_s1518"/>
                </a:ext>
                <a:ext uri="{FF2B5EF4-FFF2-40B4-BE49-F238E27FC236}">
                  <a16:creationId xmlns:a16="http://schemas.microsoft.com/office/drawing/2014/main" id="{00000000-0008-0000-0000-0000EE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87</xdr:row>
          <xdr:rowOff>63500</xdr:rowOff>
        </xdr:from>
        <xdr:to>
          <xdr:col>8</xdr:col>
          <xdr:colOff>285750</xdr:colOff>
          <xdr:row>87</xdr:row>
          <xdr:rowOff>279400</xdr:rowOff>
        </xdr:to>
        <xdr:sp macro="" textlink="">
          <xdr:nvSpPr>
            <xdr:cNvPr id="1519" name="Check Box 495" hidden="1">
              <a:extLst>
                <a:ext uri="{63B3BB69-23CF-44E3-9099-C40C66FF867C}">
                  <a14:compatExt spid="_x0000_s1519"/>
                </a:ext>
                <a:ext uri="{FF2B5EF4-FFF2-40B4-BE49-F238E27FC236}">
                  <a16:creationId xmlns:a16="http://schemas.microsoft.com/office/drawing/2014/main" id="{00000000-0008-0000-0000-0000EF0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433" Type="http://schemas.openxmlformats.org/officeDocument/2006/relationships/ctrlProp" Target="../ctrlProps/ctrlProp430.xml"/><Relationship Id="rId268" Type="http://schemas.openxmlformats.org/officeDocument/2006/relationships/ctrlProp" Target="../ctrlProps/ctrlProp265.xml"/><Relationship Id="rId475" Type="http://schemas.openxmlformats.org/officeDocument/2006/relationships/ctrlProp" Target="../ctrlProps/ctrlProp472.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377" Type="http://schemas.openxmlformats.org/officeDocument/2006/relationships/ctrlProp" Target="../ctrlProps/ctrlProp374.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402" Type="http://schemas.openxmlformats.org/officeDocument/2006/relationships/ctrlProp" Target="../ctrlProps/ctrlProp399.xml"/><Relationship Id="rId279" Type="http://schemas.openxmlformats.org/officeDocument/2006/relationships/ctrlProp" Target="../ctrlProps/ctrlProp276.xml"/><Relationship Id="rId444" Type="http://schemas.openxmlformats.org/officeDocument/2006/relationships/ctrlProp" Target="../ctrlProps/ctrlProp441.xml"/><Relationship Id="rId486" Type="http://schemas.openxmlformats.org/officeDocument/2006/relationships/ctrlProp" Target="../ctrlProps/ctrlProp483.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388" Type="http://schemas.openxmlformats.org/officeDocument/2006/relationships/ctrlProp" Target="../ctrlProps/ctrlProp385.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248" Type="http://schemas.openxmlformats.org/officeDocument/2006/relationships/ctrlProp" Target="../ctrlProps/ctrlProp245.xml"/><Relationship Id="rId455" Type="http://schemas.openxmlformats.org/officeDocument/2006/relationships/ctrlProp" Target="../ctrlProps/ctrlProp452.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357" Type="http://schemas.openxmlformats.org/officeDocument/2006/relationships/ctrlProp" Target="../ctrlProps/ctrlProp354.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399" Type="http://schemas.openxmlformats.org/officeDocument/2006/relationships/ctrlProp" Target="../ctrlProps/ctrlProp396.xml"/><Relationship Id="rId259" Type="http://schemas.openxmlformats.org/officeDocument/2006/relationships/ctrlProp" Target="../ctrlProps/ctrlProp256.xml"/><Relationship Id="rId424" Type="http://schemas.openxmlformats.org/officeDocument/2006/relationships/ctrlProp" Target="../ctrlProps/ctrlProp421.xml"/><Relationship Id="rId466" Type="http://schemas.openxmlformats.org/officeDocument/2006/relationships/ctrlProp" Target="../ctrlProps/ctrlProp463.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435" Type="http://schemas.openxmlformats.org/officeDocument/2006/relationships/ctrlProp" Target="../ctrlProps/ctrlProp432.xml"/><Relationship Id="rId477" Type="http://schemas.openxmlformats.org/officeDocument/2006/relationships/ctrlProp" Target="../ctrlProps/ctrlProp474.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390" Type="http://schemas.openxmlformats.org/officeDocument/2006/relationships/ctrlProp" Target="../ctrlProps/ctrlProp387.xml"/><Relationship Id="rId404" Type="http://schemas.openxmlformats.org/officeDocument/2006/relationships/ctrlProp" Target="../ctrlProps/ctrlProp401.xml"/><Relationship Id="rId446" Type="http://schemas.openxmlformats.org/officeDocument/2006/relationships/ctrlProp" Target="../ctrlProps/ctrlProp443.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88" Type="http://schemas.openxmlformats.org/officeDocument/2006/relationships/ctrlProp" Target="../ctrlProps/ctrlProp485.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457" Type="http://schemas.openxmlformats.org/officeDocument/2006/relationships/ctrlProp" Target="../ctrlProps/ctrlProp454.xml"/><Relationship Id="rId261" Type="http://schemas.openxmlformats.org/officeDocument/2006/relationships/ctrlProp" Target="../ctrlProps/ctrlProp258.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370" Type="http://schemas.openxmlformats.org/officeDocument/2006/relationships/ctrlProp" Target="../ctrlProps/ctrlProp367.xml"/><Relationship Id="rId426" Type="http://schemas.openxmlformats.org/officeDocument/2006/relationships/ctrlProp" Target="../ctrlProps/ctrlProp423.xml"/><Relationship Id="rId230" Type="http://schemas.openxmlformats.org/officeDocument/2006/relationships/ctrlProp" Target="../ctrlProps/ctrlProp227.xml"/><Relationship Id="rId468" Type="http://schemas.openxmlformats.org/officeDocument/2006/relationships/ctrlProp" Target="../ctrlProps/ctrlProp465.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132" Type="http://schemas.openxmlformats.org/officeDocument/2006/relationships/ctrlProp" Target="../ctrlProps/ctrlProp129.xml"/><Relationship Id="rId174" Type="http://schemas.openxmlformats.org/officeDocument/2006/relationships/ctrlProp" Target="../ctrlProps/ctrlProp171.xml"/><Relationship Id="rId381" Type="http://schemas.openxmlformats.org/officeDocument/2006/relationships/ctrlProp" Target="../ctrlProps/ctrlProp378.xml"/><Relationship Id="rId241" Type="http://schemas.openxmlformats.org/officeDocument/2006/relationships/ctrlProp" Target="../ctrlProps/ctrlProp238.xml"/><Relationship Id="rId437" Type="http://schemas.openxmlformats.org/officeDocument/2006/relationships/ctrlProp" Target="../ctrlProps/ctrlProp434.xml"/><Relationship Id="rId479" Type="http://schemas.openxmlformats.org/officeDocument/2006/relationships/ctrlProp" Target="../ctrlProps/ctrlProp476.xml"/><Relationship Id="rId36" Type="http://schemas.openxmlformats.org/officeDocument/2006/relationships/ctrlProp" Target="../ctrlProps/ctrlProp33.xml"/><Relationship Id="rId283" Type="http://schemas.openxmlformats.org/officeDocument/2006/relationships/ctrlProp" Target="../ctrlProps/ctrlProp280.xml"/><Relationship Id="rId339" Type="http://schemas.openxmlformats.org/officeDocument/2006/relationships/ctrlProp" Target="../ctrlProps/ctrlProp336.xml"/><Relationship Id="rId490" Type="http://schemas.openxmlformats.org/officeDocument/2006/relationships/ctrlProp" Target="../ctrlProps/ctrlProp487.xml"/><Relationship Id="rId78" Type="http://schemas.openxmlformats.org/officeDocument/2006/relationships/ctrlProp" Target="../ctrlProps/ctrlProp75.xml"/><Relationship Id="rId101" Type="http://schemas.openxmlformats.org/officeDocument/2006/relationships/ctrlProp" Target="../ctrlProps/ctrlProp98.xml"/><Relationship Id="rId143" Type="http://schemas.openxmlformats.org/officeDocument/2006/relationships/ctrlProp" Target="../ctrlProps/ctrlProp140.xml"/><Relationship Id="rId185" Type="http://schemas.openxmlformats.org/officeDocument/2006/relationships/ctrlProp" Target="../ctrlProps/ctrlProp182.xml"/><Relationship Id="rId350" Type="http://schemas.openxmlformats.org/officeDocument/2006/relationships/ctrlProp" Target="../ctrlProps/ctrlProp347.xml"/><Relationship Id="rId406" Type="http://schemas.openxmlformats.org/officeDocument/2006/relationships/ctrlProp" Target="../ctrlProps/ctrlProp403.xml"/><Relationship Id="rId9" Type="http://schemas.openxmlformats.org/officeDocument/2006/relationships/ctrlProp" Target="../ctrlProps/ctrlProp6.xml"/><Relationship Id="rId210" Type="http://schemas.openxmlformats.org/officeDocument/2006/relationships/ctrlProp" Target="../ctrlProps/ctrlProp207.xml"/><Relationship Id="rId392" Type="http://schemas.openxmlformats.org/officeDocument/2006/relationships/ctrlProp" Target="../ctrlProps/ctrlProp389.xml"/><Relationship Id="rId448" Type="http://schemas.openxmlformats.org/officeDocument/2006/relationships/ctrlProp" Target="../ctrlProps/ctrlProp445.xml"/><Relationship Id="rId252" Type="http://schemas.openxmlformats.org/officeDocument/2006/relationships/ctrlProp" Target="../ctrlProps/ctrlProp249.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89" Type="http://schemas.openxmlformats.org/officeDocument/2006/relationships/ctrlProp" Target="../ctrlProps/ctrlProp86.xml"/><Relationship Id="rId112" Type="http://schemas.openxmlformats.org/officeDocument/2006/relationships/ctrlProp" Target="../ctrlProps/ctrlProp109.xml"/><Relationship Id="rId154" Type="http://schemas.openxmlformats.org/officeDocument/2006/relationships/ctrlProp" Target="../ctrlProps/ctrlProp151.xml"/><Relationship Id="rId361" Type="http://schemas.openxmlformats.org/officeDocument/2006/relationships/ctrlProp" Target="../ctrlProps/ctrlProp358.xml"/><Relationship Id="rId196" Type="http://schemas.openxmlformats.org/officeDocument/2006/relationships/ctrlProp" Target="../ctrlProps/ctrlProp193.xml"/><Relationship Id="rId417" Type="http://schemas.openxmlformats.org/officeDocument/2006/relationships/ctrlProp" Target="../ctrlProps/ctrlProp414.xml"/><Relationship Id="rId459" Type="http://schemas.openxmlformats.org/officeDocument/2006/relationships/ctrlProp" Target="../ctrlProps/ctrlProp456.xml"/><Relationship Id="rId16" Type="http://schemas.openxmlformats.org/officeDocument/2006/relationships/ctrlProp" Target="../ctrlProps/ctrlProp13.xml"/><Relationship Id="rId221" Type="http://schemas.openxmlformats.org/officeDocument/2006/relationships/ctrlProp" Target="../ctrlProps/ctrlProp218.xml"/><Relationship Id="rId263" Type="http://schemas.openxmlformats.org/officeDocument/2006/relationships/ctrlProp" Target="../ctrlProps/ctrlProp260.xml"/><Relationship Id="rId319" Type="http://schemas.openxmlformats.org/officeDocument/2006/relationships/ctrlProp" Target="../ctrlProps/ctrlProp316.xml"/><Relationship Id="rId470" Type="http://schemas.openxmlformats.org/officeDocument/2006/relationships/ctrlProp" Target="../ctrlProps/ctrlProp467.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165" Type="http://schemas.openxmlformats.org/officeDocument/2006/relationships/ctrlProp" Target="../ctrlProps/ctrlProp162.xml"/><Relationship Id="rId372" Type="http://schemas.openxmlformats.org/officeDocument/2006/relationships/ctrlProp" Target="../ctrlProps/ctrlProp369.xml"/><Relationship Id="rId428" Type="http://schemas.openxmlformats.org/officeDocument/2006/relationships/ctrlProp" Target="../ctrlProps/ctrlProp425.xml"/><Relationship Id="rId232" Type="http://schemas.openxmlformats.org/officeDocument/2006/relationships/ctrlProp" Target="../ctrlProps/ctrlProp229.xml"/><Relationship Id="rId274" Type="http://schemas.openxmlformats.org/officeDocument/2006/relationships/ctrlProp" Target="../ctrlProps/ctrlProp271.xml"/><Relationship Id="rId481" Type="http://schemas.openxmlformats.org/officeDocument/2006/relationships/ctrlProp" Target="../ctrlProps/ctrlProp478.xml"/><Relationship Id="rId27" Type="http://schemas.openxmlformats.org/officeDocument/2006/relationships/ctrlProp" Target="../ctrlProps/ctrlProp24.xml"/><Relationship Id="rId69" Type="http://schemas.openxmlformats.org/officeDocument/2006/relationships/ctrlProp" Target="../ctrlProps/ctrlProp66.xml"/><Relationship Id="rId134" Type="http://schemas.openxmlformats.org/officeDocument/2006/relationships/ctrlProp" Target="../ctrlProps/ctrlProp131.xml"/><Relationship Id="rId80" Type="http://schemas.openxmlformats.org/officeDocument/2006/relationships/ctrlProp" Target="../ctrlProps/ctrlProp77.xml"/><Relationship Id="rId176" Type="http://schemas.openxmlformats.org/officeDocument/2006/relationships/ctrlProp" Target="../ctrlProps/ctrlProp173.xml"/><Relationship Id="rId341" Type="http://schemas.openxmlformats.org/officeDocument/2006/relationships/ctrlProp" Target="../ctrlProps/ctrlProp338.xml"/><Relationship Id="rId383" Type="http://schemas.openxmlformats.org/officeDocument/2006/relationships/ctrlProp" Target="../ctrlProps/ctrlProp380.xml"/><Relationship Id="rId439" Type="http://schemas.openxmlformats.org/officeDocument/2006/relationships/ctrlProp" Target="../ctrlProps/ctrlProp436.xml"/><Relationship Id="rId201" Type="http://schemas.openxmlformats.org/officeDocument/2006/relationships/ctrlProp" Target="../ctrlProps/ctrlProp198.xml"/><Relationship Id="rId243" Type="http://schemas.openxmlformats.org/officeDocument/2006/relationships/ctrlProp" Target="../ctrlProps/ctrlProp240.xml"/><Relationship Id="rId285" Type="http://schemas.openxmlformats.org/officeDocument/2006/relationships/ctrlProp" Target="../ctrlProps/ctrlProp282.xml"/><Relationship Id="rId450" Type="http://schemas.openxmlformats.org/officeDocument/2006/relationships/ctrlProp" Target="../ctrlProps/ctrlProp447.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492" Type="http://schemas.openxmlformats.org/officeDocument/2006/relationships/ctrlProp" Target="../ctrlProps/ctrlProp489.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212" Type="http://schemas.openxmlformats.org/officeDocument/2006/relationships/ctrlProp" Target="../ctrlProps/ctrlProp209.xml"/><Relationship Id="rId254" Type="http://schemas.openxmlformats.org/officeDocument/2006/relationships/ctrlProp" Target="../ctrlProps/ctrlProp251.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461" Type="http://schemas.openxmlformats.org/officeDocument/2006/relationships/ctrlProp" Target="../ctrlProps/ctrlProp458.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223" Type="http://schemas.openxmlformats.org/officeDocument/2006/relationships/ctrlProp" Target="../ctrlProps/ctrlProp220.xml"/><Relationship Id="rId430" Type="http://schemas.openxmlformats.org/officeDocument/2006/relationships/ctrlProp" Target="../ctrlProps/ctrlProp427.xml"/><Relationship Id="rId18" Type="http://schemas.openxmlformats.org/officeDocument/2006/relationships/ctrlProp" Target="../ctrlProps/ctrlProp15.xml"/><Relationship Id="rId265" Type="http://schemas.openxmlformats.org/officeDocument/2006/relationships/ctrlProp" Target="../ctrlProps/ctrlProp262.xml"/><Relationship Id="rId472" Type="http://schemas.openxmlformats.org/officeDocument/2006/relationships/ctrlProp" Target="../ctrlProps/ctrlProp469.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71" Type="http://schemas.openxmlformats.org/officeDocument/2006/relationships/ctrlProp" Target="../ctrlProps/ctrlProp68.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76" Type="http://schemas.openxmlformats.org/officeDocument/2006/relationships/ctrlProp" Target="../ctrlProps/ctrlProp273.xml"/><Relationship Id="rId441" Type="http://schemas.openxmlformats.org/officeDocument/2006/relationships/ctrlProp" Target="../ctrlProps/ctrlProp438.xml"/><Relationship Id="rId483" Type="http://schemas.openxmlformats.org/officeDocument/2006/relationships/ctrlProp" Target="../ctrlProps/ctrlProp480.xml"/><Relationship Id="rId40" Type="http://schemas.openxmlformats.org/officeDocument/2006/relationships/ctrlProp" Target="../ctrlProps/ctrlProp37.xml"/><Relationship Id="rId136" Type="http://schemas.openxmlformats.org/officeDocument/2006/relationships/ctrlProp" Target="../ctrlProps/ctrlProp133.xml"/><Relationship Id="rId178" Type="http://schemas.openxmlformats.org/officeDocument/2006/relationships/ctrlProp" Target="../ctrlProps/ctrlProp175.xml"/><Relationship Id="rId301" Type="http://schemas.openxmlformats.org/officeDocument/2006/relationships/ctrlProp" Target="../ctrlProps/ctrlProp298.xml"/><Relationship Id="rId343" Type="http://schemas.openxmlformats.org/officeDocument/2006/relationships/ctrlProp" Target="../ctrlProps/ctrlProp340.xml"/><Relationship Id="rId82" Type="http://schemas.openxmlformats.org/officeDocument/2006/relationships/ctrlProp" Target="../ctrlProps/ctrlProp79.xml"/><Relationship Id="rId203" Type="http://schemas.openxmlformats.org/officeDocument/2006/relationships/ctrlProp" Target="../ctrlProps/ctrlProp200.xml"/><Relationship Id="rId385" Type="http://schemas.openxmlformats.org/officeDocument/2006/relationships/ctrlProp" Target="../ctrlProps/ctrlProp382.xml"/><Relationship Id="rId245" Type="http://schemas.openxmlformats.org/officeDocument/2006/relationships/ctrlProp" Target="../ctrlProps/ctrlProp242.xml"/><Relationship Id="rId287" Type="http://schemas.openxmlformats.org/officeDocument/2006/relationships/ctrlProp" Target="../ctrlProps/ctrlProp284.xml"/><Relationship Id="rId410" Type="http://schemas.openxmlformats.org/officeDocument/2006/relationships/ctrlProp" Target="../ctrlProps/ctrlProp407.xml"/><Relationship Id="rId452" Type="http://schemas.openxmlformats.org/officeDocument/2006/relationships/ctrlProp" Target="../ctrlProps/ctrlProp449.xml"/><Relationship Id="rId494" Type="http://schemas.openxmlformats.org/officeDocument/2006/relationships/comments" Target="../comments1.xml"/><Relationship Id="rId105" Type="http://schemas.openxmlformats.org/officeDocument/2006/relationships/ctrlProp" Target="../ctrlProps/ctrlProp102.xml"/><Relationship Id="rId147" Type="http://schemas.openxmlformats.org/officeDocument/2006/relationships/ctrlProp" Target="../ctrlProps/ctrlProp144.xml"/><Relationship Id="rId312" Type="http://schemas.openxmlformats.org/officeDocument/2006/relationships/ctrlProp" Target="../ctrlProps/ctrlProp309.xml"/><Relationship Id="rId354" Type="http://schemas.openxmlformats.org/officeDocument/2006/relationships/ctrlProp" Target="../ctrlProps/ctrlProp351.xml"/><Relationship Id="rId51" Type="http://schemas.openxmlformats.org/officeDocument/2006/relationships/ctrlProp" Target="../ctrlProps/ctrlProp48.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214" Type="http://schemas.openxmlformats.org/officeDocument/2006/relationships/ctrlProp" Target="../ctrlProps/ctrlProp211.xml"/><Relationship Id="rId256" Type="http://schemas.openxmlformats.org/officeDocument/2006/relationships/ctrlProp" Target="../ctrlProps/ctrlProp253.xml"/><Relationship Id="rId298" Type="http://schemas.openxmlformats.org/officeDocument/2006/relationships/ctrlProp" Target="../ctrlProps/ctrlProp295.xml"/><Relationship Id="rId421" Type="http://schemas.openxmlformats.org/officeDocument/2006/relationships/ctrlProp" Target="../ctrlProps/ctrlProp418.xml"/><Relationship Id="rId463" Type="http://schemas.openxmlformats.org/officeDocument/2006/relationships/ctrlProp" Target="../ctrlProps/ctrlProp460.xml"/><Relationship Id="rId116" Type="http://schemas.openxmlformats.org/officeDocument/2006/relationships/ctrlProp" Target="../ctrlProps/ctrlProp113.xml"/><Relationship Id="rId158" Type="http://schemas.openxmlformats.org/officeDocument/2006/relationships/ctrlProp" Target="../ctrlProps/ctrlProp155.xml"/><Relationship Id="rId323" Type="http://schemas.openxmlformats.org/officeDocument/2006/relationships/ctrlProp" Target="../ctrlProps/ctrlProp320.xml"/><Relationship Id="rId20" Type="http://schemas.openxmlformats.org/officeDocument/2006/relationships/ctrlProp" Target="../ctrlProps/ctrlProp17.xml"/><Relationship Id="rId62" Type="http://schemas.openxmlformats.org/officeDocument/2006/relationships/ctrlProp" Target="../ctrlProps/ctrlProp59.xml"/><Relationship Id="rId365" Type="http://schemas.openxmlformats.org/officeDocument/2006/relationships/ctrlProp" Target="../ctrlProps/ctrlProp362.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411" Type="http://schemas.openxmlformats.org/officeDocument/2006/relationships/ctrlProp" Target="../ctrlProps/ctrlProp408.xml"/><Relationship Id="rId432" Type="http://schemas.openxmlformats.org/officeDocument/2006/relationships/ctrlProp" Target="../ctrlProps/ctrlProp429.xml"/><Relationship Id="rId453" Type="http://schemas.openxmlformats.org/officeDocument/2006/relationships/ctrlProp" Target="../ctrlProps/ctrlProp450.xml"/><Relationship Id="rId474" Type="http://schemas.openxmlformats.org/officeDocument/2006/relationships/ctrlProp" Target="../ctrlProps/ctrlProp471.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376" Type="http://schemas.openxmlformats.org/officeDocument/2006/relationships/ctrlProp" Target="../ctrlProps/ctrlProp373.xml"/><Relationship Id="rId397" Type="http://schemas.openxmlformats.org/officeDocument/2006/relationships/ctrlProp" Target="../ctrlProps/ctrlProp394.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401" Type="http://schemas.openxmlformats.org/officeDocument/2006/relationships/ctrlProp" Target="../ctrlProps/ctrlProp398.xml"/><Relationship Id="rId422" Type="http://schemas.openxmlformats.org/officeDocument/2006/relationships/ctrlProp" Target="../ctrlProps/ctrlProp419.xml"/><Relationship Id="rId443" Type="http://schemas.openxmlformats.org/officeDocument/2006/relationships/ctrlProp" Target="../ctrlProps/ctrlProp440.xml"/><Relationship Id="rId464" Type="http://schemas.openxmlformats.org/officeDocument/2006/relationships/ctrlProp" Target="../ctrlProps/ctrlProp461.xml"/><Relationship Id="rId303" Type="http://schemas.openxmlformats.org/officeDocument/2006/relationships/ctrlProp" Target="../ctrlProps/ctrlProp300.xml"/><Relationship Id="rId485" Type="http://schemas.openxmlformats.org/officeDocument/2006/relationships/ctrlProp" Target="../ctrlProps/ctrlProp482.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240" Type="http://schemas.openxmlformats.org/officeDocument/2006/relationships/ctrlProp" Target="../ctrlProps/ctrlProp237.xml"/><Relationship Id="rId478" Type="http://schemas.openxmlformats.org/officeDocument/2006/relationships/ctrlProp" Target="../ctrlProps/ctrlProp475.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251" Type="http://schemas.openxmlformats.org/officeDocument/2006/relationships/ctrlProp" Target="../ctrlProps/ctrlProp248.xml"/><Relationship Id="rId489" Type="http://schemas.openxmlformats.org/officeDocument/2006/relationships/ctrlProp" Target="../ctrlProps/ctrlProp486.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220" Type="http://schemas.openxmlformats.org/officeDocument/2006/relationships/ctrlProp" Target="../ctrlProps/ctrlProp217.xml"/><Relationship Id="rId458" Type="http://schemas.openxmlformats.org/officeDocument/2006/relationships/ctrlProp" Target="../ctrlProps/ctrlProp455.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469" Type="http://schemas.openxmlformats.org/officeDocument/2006/relationships/ctrlProp" Target="../ctrlProps/ctrlProp466.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1" Type="http://schemas.openxmlformats.org/officeDocument/2006/relationships/printerSettings" Target="../printerSettings/printerSettings1.bin"/><Relationship Id="rId233" Type="http://schemas.openxmlformats.org/officeDocument/2006/relationships/ctrlProp" Target="../ctrlProps/ctrlProp230.xml"/><Relationship Id="rId440" Type="http://schemas.openxmlformats.org/officeDocument/2006/relationships/ctrlProp" Target="../ctrlProps/ctrlProp437.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202" Type="http://schemas.openxmlformats.org/officeDocument/2006/relationships/ctrlProp" Target="../ctrlProps/ctrlProp199.xml"/><Relationship Id="rId244" Type="http://schemas.openxmlformats.org/officeDocument/2006/relationships/ctrlProp" Target="../ctrlProps/ctrlProp241.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61" Type="http://schemas.openxmlformats.org/officeDocument/2006/relationships/ctrlProp" Target="../ctrlProps/ctrlProp58.xml"/><Relationship Id="rId199" Type="http://schemas.openxmlformats.org/officeDocument/2006/relationships/ctrlProp" Target="../ctrlProps/ctrlProp196.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72" Type="http://schemas.openxmlformats.org/officeDocument/2006/relationships/ctrlProp" Target="../ctrlProps/ctrlProp69.xml"/><Relationship Id="rId375" Type="http://schemas.openxmlformats.org/officeDocument/2006/relationships/ctrlProp" Target="../ctrlProps/ctrlProp372.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15E7-8076-4560-BC85-E3AD1DAADF89}">
  <dimension ref="A1:Q88"/>
  <sheetViews>
    <sheetView tabSelected="1" zoomScale="85" zoomScaleNormal="85" workbookViewId="0">
      <pane ySplit="4" topLeftCell="A83" activePane="bottomLeft" state="frozenSplit"/>
      <selection pane="bottomLeft" activeCell="N87" sqref="N87"/>
    </sheetView>
  </sheetViews>
  <sheetFormatPr defaultRowHeight="14.5" x14ac:dyDescent="0.35"/>
  <cols>
    <col min="1" max="1" width="34.6328125" style="13" customWidth="1"/>
    <col min="2" max="2" width="28.6328125" style="13" customWidth="1"/>
    <col min="3" max="9" width="6.6328125" style="12" customWidth="1"/>
    <col min="10" max="10" width="13.6328125" style="13" customWidth="1"/>
    <col min="11" max="11" width="10.6328125" style="13" customWidth="1"/>
    <col min="12" max="12" width="13.6328125" style="13" customWidth="1"/>
    <col min="13" max="13" width="15.6328125" style="13" customWidth="1"/>
    <col min="14" max="14" width="34.6328125" style="13" customWidth="1"/>
    <col min="15" max="15" width="38.6328125" style="13" customWidth="1"/>
    <col min="16" max="16" width="76.6328125" style="13" customWidth="1"/>
    <col min="17" max="17" width="45.6328125" style="13" customWidth="1"/>
    <col min="18" max="16384" width="8.7265625" style="13"/>
  </cols>
  <sheetData>
    <row r="1" spans="1:17" ht="36" customHeight="1" x14ac:dyDescent="0.65">
      <c r="A1" s="40" t="s">
        <v>0</v>
      </c>
      <c r="B1" s="41"/>
      <c r="C1" s="41"/>
      <c r="D1" s="41"/>
      <c r="E1" s="41"/>
      <c r="F1" s="41"/>
      <c r="G1" s="41"/>
      <c r="H1" s="41"/>
      <c r="I1" s="41"/>
      <c r="J1" s="41"/>
      <c r="K1" s="41"/>
    </row>
    <row r="2" spans="1:17" ht="34" customHeight="1" x14ac:dyDescent="0.35">
      <c r="A2" s="42" t="s">
        <v>1513</v>
      </c>
      <c r="B2" s="42"/>
      <c r="C2" s="42"/>
      <c r="D2" s="42"/>
      <c r="E2" s="42"/>
      <c r="F2" s="42"/>
      <c r="G2" s="42"/>
      <c r="H2" s="42"/>
      <c r="I2" s="42"/>
      <c r="J2" s="42"/>
      <c r="K2" s="42"/>
      <c r="L2" s="42"/>
      <c r="M2" s="42"/>
      <c r="N2" s="42"/>
      <c r="O2" s="42"/>
      <c r="P2" s="42"/>
      <c r="Q2" s="42"/>
    </row>
    <row r="4" spans="1:17" ht="30" customHeight="1" x14ac:dyDescent="0.35">
      <c r="A4" s="14" t="s">
        <v>1</v>
      </c>
      <c r="B4" s="14" t="s">
        <v>2</v>
      </c>
      <c r="C4" s="14" t="s">
        <v>66</v>
      </c>
      <c r="D4" s="14" t="s">
        <v>67</v>
      </c>
      <c r="E4" s="14" t="s">
        <v>68</v>
      </c>
      <c r="F4" s="14" t="s">
        <v>69</v>
      </c>
      <c r="G4" s="14" t="s">
        <v>70</v>
      </c>
      <c r="H4" s="14" t="s">
        <v>71</v>
      </c>
      <c r="I4" s="14" t="s">
        <v>72</v>
      </c>
      <c r="J4" s="14" t="s">
        <v>4</v>
      </c>
      <c r="K4" s="14" t="s">
        <v>5</v>
      </c>
      <c r="L4" s="23" t="s">
        <v>6</v>
      </c>
      <c r="M4" s="23" t="s">
        <v>7</v>
      </c>
      <c r="N4" s="37" t="s">
        <v>8</v>
      </c>
      <c r="O4" s="37" t="s">
        <v>9</v>
      </c>
      <c r="P4" s="23" t="s">
        <v>10</v>
      </c>
      <c r="Q4" s="23" t="s">
        <v>11</v>
      </c>
    </row>
    <row r="5" spans="1:17" ht="112" customHeight="1" x14ac:dyDescent="0.35">
      <c r="A5" s="24" t="s">
        <v>1514</v>
      </c>
      <c r="B5" s="21"/>
      <c r="C5" s="27"/>
      <c r="D5" s="27"/>
      <c r="E5" s="27"/>
      <c r="F5" s="27"/>
      <c r="G5" s="27"/>
      <c r="H5" s="28"/>
      <c r="I5" s="29"/>
      <c r="J5" s="21"/>
      <c r="K5" s="22"/>
      <c r="N5" s="35"/>
      <c r="O5" s="36"/>
      <c r="P5" s="20"/>
      <c r="Q5" s="20"/>
    </row>
    <row r="6" spans="1:17" ht="112" customHeight="1" x14ac:dyDescent="0.35">
      <c r="A6" s="15" t="s">
        <v>1515</v>
      </c>
      <c r="B6" s="16" t="s">
        <v>13</v>
      </c>
      <c r="C6" s="30" t="b">
        <v>0</v>
      </c>
      <c r="D6" s="30" t="b">
        <v>0</v>
      </c>
      <c r="E6" s="30" t="b">
        <v>0</v>
      </c>
      <c r="F6" s="30" t="b">
        <v>0</v>
      </c>
      <c r="G6" s="30" t="b">
        <v>0</v>
      </c>
      <c r="H6" s="32" t="b">
        <v>0</v>
      </c>
      <c r="I6" s="33" t="b">
        <v>0</v>
      </c>
      <c r="J6" s="17"/>
      <c r="K6" s="17" t="s">
        <v>15</v>
      </c>
      <c r="L6" s="13" t="s">
        <v>16</v>
      </c>
      <c r="M6" s="13" t="s">
        <v>1516</v>
      </c>
      <c r="N6" s="38"/>
      <c r="O6" s="39" t="str" cm="1">
        <f t="array" aca="1" ref="O6" ca="1">_xlfn.LET(_xlpm.activo,K6,_xlpm.horaTxt,J6,_xlpm.base,TODAY(),_xlpm.fechas,_xlpm.base+_xlfn.SEQUENCE(180,,0),_xlpm.hora,IF(ISNUMBER(_xlpm.horaTxt),_xlpm.horaTxt,IFERROR(TIMEVALUE(SUBSTITUTE(_xlpm.horaTxt," hrs","")),TIME(9,0,0))),_xlpm.dias,(C6*(WEEKDAY(_xlpm.fechas,2)=1))+(D6*(WEEKDAY(_xlpm.fechas,2)=2))+(E6*(WEEKDAY(_xlpm.fechas,2)=3))+(F6*(WEEKDAY(_xlpm.fechas,2)=4))+(G6*(WEEKDAY(_xlpm.fechas,2)=5))+(H6*(WEEKDAY(_xlpm.fechas,2)=6))+(I6*(WEEKDAY(_xlpm.fechas,2)=7)),_xlpm.validas,_xlfn._xlws.FILTER(_xlpm.fechas,(_xlpm.dias&gt;0)*((_xlpm.fechas+_xlpm.hora)&gt;=(NOW()-TIME(0,3,0)))),_xlpm.prox,_xlfn.TAKE(_xlpm.validas,4),IF(_xlpm.activo&lt;&gt;"SI","Inactivo",IF(SUMPRODUCT(--C6:I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6" s="20" t="s">
        <v>17</v>
      </c>
      <c r="Q6" s="20"/>
    </row>
    <row r="7" spans="1:17" ht="112" customHeight="1" x14ac:dyDescent="0.35">
      <c r="A7" s="15" t="s">
        <v>1515</v>
      </c>
      <c r="B7" s="16" t="s">
        <v>18</v>
      </c>
      <c r="C7" s="30" t="b">
        <v>1</v>
      </c>
      <c r="D7" s="31" t="b">
        <v>0</v>
      </c>
      <c r="E7" s="30" t="b">
        <v>0</v>
      </c>
      <c r="F7" s="30" t="b">
        <v>1</v>
      </c>
      <c r="G7" s="30" t="b">
        <v>0</v>
      </c>
      <c r="H7" s="32" t="b">
        <v>0</v>
      </c>
      <c r="I7" s="33" t="b">
        <v>0</v>
      </c>
      <c r="J7" s="25" t="s">
        <v>73</v>
      </c>
      <c r="K7" s="17" t="s">
        <v>15</v>
      </c>
      <c r="L7" s="13" t="s">
        <v>16</v>
      </c>
      <c r="M7" s="13" t="s">
        <v>1516</v>
      </c>
      <c r="N7" s="38"/>
      <c r="O7" s="39" t="str" cm="1">
        <f t="array" aca="1" ref="O7" ca="1">_xlfn.LET(_xlpm.activo,K7,_xlpm.horaTxt,J7,_xlpm.base,TODAY(),_xlpm.fechas,_xlpm.base+_xlfn.SEQUENCE(180,,0),_xlpm.hora,IF(ISNUMBER(_xlpm.horaTxt),_xlpm.horaTxt,IFERROR(TIMEVALUE(SUBSTITUTE(_xlpm.horaTxt," hrs","")),TIME(9,0,0))),_xlpm.dias,(C7*(WEEKDAY(_xlpm.fechas,2)=1))+(D7*(WEEKDAY(_xlpm.fechas,2)=2))+(E7*(WEEKDAY(_xlpm.fechas,2)=3))+(F7*(WEEKDAY(_xlpm.fechas,2)=4))+(G7*(WEEKDAY(_xlpm.fechas,2)=5))+(H7*(WEEKDAY(_xlpm.fechas,2)=6))+(I7*(WEEKDAY(_xlpm.fechas,2)=7)),_xlpm.validas,_xlfn._xlws.FILTER(_xlpm.fechas,(_xlpm.dias&gt;0)*((_xlpm.fechas+_xlpm.hora)&gt;=(NOW()-TIME(0,3,0)))),_xlpm.prox,_xlfn.TAKE(_xlpm.validas,4),IF(_xlpm.activo&lt;&gt;"SI","Inactivo",IF(SUMPRODUCT(--C7:I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7" s="20" t="s">
        <v>20</v>
      </c>
      <c r="Q7" s="20"/>
    </row>
    <row r="8" spans="1:17" ht="112" customHeight="1" x14ac:dyDescent="0.35">
      <c r="A8" s="15" t="s">
        <v>1515</v>
      </c>
      <c r="B8" s="16" t="s">
        <v>21</v>
      </c>
      <c r="C8" s="30" t="b">
        <v>1</v>
      </c>
      <c r="D8" s="31" t="b">
        <v>0</v>
      </c>
      <c r="E8" s="30" t="b">
        <v>0</v>
      </c>
      <c r="F8" s="30" t="b">
        <v>1</v>
      </c>
      <c r="G8" s="30" t="b">
        <v>0</v>
      </c>
      <c r="H8" s="32" t="b">
        <v>0</v>
      </c>
      <c r="I8" s="33" t="b">
        <v>0</v>
      </c>
      <c r="J8" s="25" t="s">
        <v>74</v>
      </c>
      <c r="K8" s="17" t="s">
        <v>15</v>
      </c>
      <c r="L8" s="13" t="s">
        <v>16</v>
      </c>
      <c r="M8" s="13" t="s">
        <v>1516</v>
      </c>
      <c r="N8" s="38"/>
      <c r="O8" s="39" t="str" cm="1">
        <f t="array" aca="1" ref="O8" ca="1">_xlfn.LET(_xlpm.activo,K8,_xlpm.horaTxt,J8,_xlpm.base,TODAY(),_xlpm.fechas,_xlpm.base+_xlfn.SEQUENCE(180,,0),_xlpm.hora,IF(ISNUMBER(_xlpm.horaTxt),_xlpm.horaTxt,IFERROR(TIMEVALUE(SUBSTITUTE(_xlpm.horaTxt," hrs","")),TIME(9,0,0))),_xlpm.dias,(C8*(WEEKDAY(_xlpm.fechas,2)=1))+(D8*(WEEKDAY(_xlpm.fechas,2)=2))+(E8*(WEEKDAY(_xlpm.fechas,2)=3))+(F8*(WEEKDAY(_xlpm.fechas,2)=4))+(G8*(WEEKDAY(_xlpm.fechas,2)=5))+(H8*(WEEKDAY(_xlpm.fechas,2)=6))+(I8*(WEEKDAY(_xlpm.fechas,2)=7)),_xlpm.validas,_xlfn._xlws.FILTER(_xlpm.fechas,(_xlpm.dias&gt;0)*((_xlpm.fechas+_xlpm.hora)&gt;=(NOW()-TIME(0,3,0)))),_xlpm.prox,_xlfn.TAKE(_xlpm.validas,4),IF(_xlpm.activo&lt;&gt;"SI","Inactivo",IF(SUMPRODUCT(--C8:I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8" s="20" t="s">
        <v>22</v>
      </c>
      <c r="Q8" s="20"/>
    </row>
    <row r="9" spans="1:17" ht="112" customHeight="1" x14ac:dyDescent="0.35">
      <c r="A9" s="15" t="s">
        <v>1515</v>
      </c>
      <c r="B9" s="16" t="s">
        <v>23</v>
      </c>
      <c r="C9" s="30" t="b">
        <v>0</v>
      </c>
      <c r="D9" s="31" t="b">
        <v>1</v>
      </c>
      <c r="E9" s="30" t="b">
        <v>0</v>
      </c>
      <c r="F9" s="30" t="b">
        <v>1</v>
      </c>
      <c r="G9" s="30" t="b">
        <v>0</v>
      </c>
      <c r="H9" s="32" t="b">
        <v>0</v>
      </c>
      <c r="I9" s="33" t="b">
        <v>0</v>
      </c>
      <c r="J9" s="25" t="s">
        <v>75</v>
      </c>
      <c r="K9" s="17" t="s">
        <v>15</v>
      </c>
      <c r="L9" s="13" t="s">
        <v>16</v>
      </c>
      <c r="M9" s="13" t="s">
        <v>1516</v>
      </c>
      <c r="N9" s="38"/>
      <c r="O9" s="39" t="str" cm="1">
        <f t="array" aca="1" ref="O9" ca="1">_xlfn.LET(_xlpm.activo,K9,_xlpm.horaTxt,J9,_xlpm.base,TODAY(),_xlpm.fechas,_xlpm.base+_xlfn.SEQUENCE(180,,0),_xlpm.hora,IF(ISNUMBER(_xlpm.horaTxt),_xlpm.horaTxt,IFERROR(TIMEVALUE(SUBSTITUTE(_xlpm.horaTxt," hrs","")),TIME(9,0,0))),_xlpm.dias,(C9*(WEEKDAY(_xlpm.fechas,2)=1))+(D9*(WEEKDAY(_xlpm.fechas,2)=2))+(E9*(WEEKDAY(_xlpm.fechas,2)=3))+(F9*(WEEKDAY(_xlpm.fechas,2)=4))+(G9*(WEEKDAY(_xlpm.fechas,2)=5))+(H9*(WEEKDAY(_xlpm.fechas,2)=6))+(I9*(WEEKDAY(_xlpm.fechas,2)=7)),_xlpm.validas,_xlfn._xlws.FILTER(_xlpm.fechas,(_xlpm.dias&gt;0)*((_xlpm.fechas+_xlpm.hora)&gt;=(NOW()-TIME(0,3,0)))),_xlpm.prox,_xlfn.TAKE(_xlpm.validas,4),IF(_xlpm.activo&lt;&gt;"SI","Inactivo",IF(SUMPRODUCT(--C9:I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9" s="20" t="s">
        <v>25</v>
      </c>
      <c r="Q9" s="20"/>
    </row>
    <row r="10" spans="1:17" ht="112" customHeight="1" x14ac:dyDescent="0.35">
      <c r="A10" s="15" t="s">
        <v>1515</v>
      </c>
      <c r="B10" s="16" t="s">
        <v>26</v>
      </c>
      <c r="C10" s="30" t="b">
        <v>0</v>
      </c>
      <c r="D10" s="30" t="b">
        <v>0</v>
      </c>
      <c r="E10" s="30" t="b">
        <v>0</v>
      </c>
      <c r="F10" s="30" t="b">
        <v>0</v>
      </c>
      <c r="G10" s="30" t="b">
        <v>0</v>
      </c>
      <c r="H10" s="32" t="b">
        <v>1</v>
      </c>
      <c r="I10" s="33" t="b">
        <v>0</v>
      </c>
      <c r="J10" s="17" t="s">
        <v>75</v>
      </c>
      <c r="K10" s="17" t="s">
        <v>15</v>
      </c>
      <c r="L10" s="13" t="s">
        <v>16</v>
      </c>
      <c r="M10" s="13" t="s">
        <v>1516</v>
      </c>
      <c r="N10" s="38"/>
      <c r="O10" s="39" t="str" cm="1">
        <f t="array" aca="1" ref="O10" ca="1">_xlfn.LET(_xlpm.activo,K10,_xlpm.horaTxt,J10,_xlpm.base,TODAY(),_xlpm.fechas,_xlpm.base+_xlfn.SEQUENCE(180,,0),_xlpm.hora,IF(ISNUMBER(_xlpm.horaTxt),_xlpm.horaTxt,IFERROR(TIMEVALUE(SUBSTITUTE(_xlpm.horaTxt," hrs","")),TIME(9,0,0))),_xlpm.dias,(C10*(WEEKDAY(_xlpm.fechas,2)=1))+(D10*(WEEKDAY(_xlpm.fechas,2)=2))+(E10*(WEEKDAY(_xlpm.fechas,2)=3))+(F10*(WEEKDAY(_xlpm.fechas,2)=4))+(G10*(WEEKDAY(_xlpm.fechas,2)=5))+(H10*(WEEKDAY(_xlpm.fechas,2)=6))+(I10*(WEEKDAY(_xlpm.fechas,2)=7)),_xlpm.validas,_xlfn._xlws.FILTER(_xlpm.fechas,(_xlpm.dias&gt;0)*((_xlpm.fechas+_xlpm.hora)&gt;=(NOW()-TIME(0,3,0)))),_xlpm.prox,_xlfn.TAKE(_xlpm.validas,4),IF(_xlpm.activo&lt;&gt;"SI","Inactivo",IF(SUMPRODUCT(--C10:I10)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10" s="20" t="s">
        <v>29</v>
      </c>
      <c r="Q10" s="20"/>
    </row>
    <row r="11" spans="1:17" ht="112" customHeight="1" x14ac:dyDescent="0.35">
      <c r="A11" s="26" t="s">
        <v>1517</v>
      </c>
      <c r="B11" s="16"/>
      <c r="C11" s="30"/>
      <c r="D11" s="30"/>
      <c r="E11" s="30"/>
      <c r="F11" s="30"/>
      <c r="G11" s="30"/>
      <c r="H11" s="32"/>
      <c r="I11" s="33"/>
      <c r="J11" s="17"/>
      <c r="K11" s="17"/>
      <c r="N11" s="35"/>
      <c r="O11" s="36"/>
      <c r="P11" s="20"/>
      <c r="Q11" s="20"/>
    </row>
    <row r="12" spans="1:17" ht="112" customHeight="1" x14ac:dyDescent="0.35">
      <c r="A12" s="18" t="s">
        <v>1518</v>
      </c>
      <c r="B12" s="16" t="s">
        <v>13</v>
      </c>
      <c r="C12" s="30" t="b">
        <v>0</v>
      </c>
      <c r="D12" s="30" t="b">
        <v>0</v>
      </c>
      <c r="E12" s="30" t="b">
        <v>0</v>
      </c>
      <c r="F12" s="30" t="b">
        <v>0</v>
      </c>
      <c r="G12" s="30" t="b">
        <v>0</v>
      </c>
      <c r="H12" s="32" t="b">
        <v>0</v>
      </c>
      <c r="I12" s="33" t="b">
        <v>0</v>
      </c>
      <c r="J12" s="17"/>
      <c r="K12" s="17" t="s">
        <v>15</v>
      </c>
      <c r="L12" s="13" t="s">
        <v>16</v>
      </c>
      <c r="M12" s="13" t="s">
        <v>1516</v>
      </c>
      <c r="N12" s="38"/>
      <c r="O12" s="39" t="str" cm="1">
        <f t="array" aca="1" ref="O12" ca="1">_xlfn.LET(_xlpm.activo,K12,_xlpm.horaTxt,J12,_xlpm.base,TODAY(),_xlpm.fechas,_xlpm.base+_xlfn.SEQUENCE(180,,0),_xlpm.hora,IF(ISNUMBER(_xlpm.horaTxt),_xlpm.horaTxt,IFERROR(TIMEVALUE(SUBSTITUTE(_xlpm.horaTxt," hrs","")),TIME(9,0,0))),_xlpm.dias,(C12*(WEEKDAY(_xlpm.fechas,2)=1))+(D12*(WEEKDAY(_xlpm.fechas,2)=2))+(E12*(WEEKDAY(_xlpm.fechas,2)=3))+(F12*(WEEKDAY(_xlpm.fechas,2)=4))+(G12*(WEEKDAY(_xlpm.fechas,2)=5))+(H12*(WEEKDAY(_xlpm.fechas,2)=6))+(I12*(WEEKDAY(_xlpm.fechas,2)=7)),_xlpm.validas,_xlfn._xlws.FILTER(_xlpm.fechas,(_xlpm.dias&gt;0)*((_xlpm.fechas+_xlpm.hora)&gt;=(NOW()-TIME(0,3,0)))),_xlpm.prox,_xlfn.TAKE(_xlpm.validas,4),IF(_xlpm.activo&lt;&gt;"SI","Inactivo",IF(SUMPRODUCT(--C12:I12)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12" s="20" t="s">
        <v>17</v>
      </c>
      <c r="Q12" s="20"/>
    </row>
    <row r="13" spans="1:17" ht="112" customHeight="1" x14ac:dyDescent="0.35">
      <c r="A13" s="18" t="s">
        <v>1518</v>
      </c>
      <c r="B13" s="16" t="s">
        <v>18</v>
      </c>
      <c r="C13" s="30" t="b">
        <v>1</v>
      </c>
      <c r="D13" s="31" t="b">
        <v>0</v>
      </c>
      <c r="E13" s="30" t="b">
        <v>0</v>
      </c>
      <c r="F13" s="30" t="b">
        <v>1</v>
      </c>
      <c r="G13" s="30" t="b">
        <v>0</v>
      </c>
      <c r="H13" s="32" t="b">
        <v>0</v>
      </c>
      <c r="I13" s="33" t="b">
        <v>0</v>
      </c>
      <c r="J13" s="25" t="s">
        <v>73</v>
      </c>
      <c r="K13" s="17" t="s">
        <v>15</v>
      </c>
      <c r="L13" s="13" t="s">
        <v>16</v>
      </c>
      <c r="M13" s="13" t="s">
        <v>1516</v>
      </c>
      <c r="N13" s="38"/>
      <c r="O13" s="39" t="str" cm="1">
        <f t="array" aca="1" ref="O13" ca="1">_xlfn.LET(_xlpm.activo,K13,_xlpm.horaTxt,J13,_xlpm.base,TODAY(),_xlpm.fechas,_xlpm.base+_xlfn.SEQUENCE(180,,0),_xlpm.hora,IF(ISNUMBER(_xlpm.horaTxt),_xlpm.horaTxt,IFERROR(TIMEVALUE(SUBSTITUTE(_xlpm.horaTxt," hrs","")),TIME(9,0,0))),_xlpm.dias,(C13*(WEEKDAY(_xlpm.fechas,2)=1))+(D13*(WEEKDAY(_xlpm.fechas,2)=2))+(E13*(WEEKDAY(_xlpm.fechas,2)=3))+(F13*(WEEKDAY(_xlpm.fechas,2)=4))+(G13*(WEEKDAY(_xlpm.fechas,2)=5))+(H13*(WEEKDAY(_xlpm.fechas,2)=6))+(I13*(WEEKDAY(_xlpm.fechas,2)=7)),_xlpm.validas,_xlfn._xlws.FILTER(_xlpm.fechas,(_xlpm.dias&gt;0)*((_xlpm.fechas+_xlpm.hora)&gt;=(NOW()-TIME(0,3,0)))),_xlpm.prox,_xlfn.TAKE(_xlpm.validas,4),IF(_xlpm.activo&lt;&gt;"SI","Inactivo",IF(SUMPRODUCT(--C13:I13)=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13" s="20" t="s">
        <v>20</v>
      </c>
      <c r="Q13" s="20"/>
    </row>
    <row r="14" spans="1:17" ht="112" customHeight="1" x14ac:dyDescent="0.35">
      <c r="A14" s="18" t="s">
        <v>1518</v>
      </c>
      <c r="B14" s="16" t="s">
        <v>21</v>
      </c>
      <c r="C14" s="30" t="b">
        <v>1</v>
      </c>
      <c r="D14" s="31" t="b">
        <v>0</v>
      </c>
      <c r="E14" s="30" t="b">
        <v>0</v>
      </c>
      <c r="F14" s="30" t="b">
        <v>1</v>
      </c>
      <c r="G14" s="30" t="b">
        <v>0</v>
      </c>
      <c r="H14" s="32" t="b">
        <v>0</v>
      </c>
      <c r="I14" s="33" t="b">
        <v>0</v>
      </c>
      <c r="J14" s="25" t="s">
        <v>74</v>
      </c>
      <c r="K14" s="17" t="s">
        <v>15</v>
      </c>
      <c r="L14" s="13" t="s">
        <v>16</v>
      </c>
      <c r="M14" s="13" t="s">
        <v>1516</v>
      </c>
      <c r="N14" s="38"/>
      <c r="O14" s="39" t="str" cm="1">
        <f t="array" aca="1" ref="O14" ca="1">_xlfn.LET(_xlpm.activo,K14,_xlpm.horaTxt,J14,_xlpm.base,TODAY(),_xlpm.fechas,_xlpm.base+_xlfn.SEQUENCE(180,,0),_xlpm.hora,IF(ISNUMBER(_xlpm.horaTxt),_xlpm.horaTxt,IFERROR(TIMEVALUE(SUBSTITUTE(_xlpm.horaTxt," hrs","")),TIME(9,0,0))),_xlpm.dias,(C14*(WEEKDAY(_xlpm.fechas,2)=1))+(D14*(WEEKDAY(_xlpm.fechas,2)=2))+(E14*(WEEKDAY(_xlpm.fechas,2)=3))+(F14*(WEEKDAY(_xlpm.fechas,2)=4))+(G14*(WEEKDAY(_xlpm.fechas,2)=5))+(H14*(WEEKDAY(_xlpm.fechas,2)=6))+(I14*(WEEKDAY(_xlpm.fechas,2)=7)),_xlpm.validas,_xlfn._xlws.FILTER(_xlpm.fechas,(_xlpm.dias&gt;0)*((_xlpm.fechas+_xlpm.hora)&gt;=(NOW()-TIME(0,3,0)))),_xlpm.prox,_xlfn.TAKE(_xlpm.validas,4),IF(_xlpm.activo&lt;&gt;"SI","Inactivo",IF(SUMPRODUCT(--C14:I14)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14" s="20" t="s">
        <v>22</v>
      </c>
      <c r="Q14" s="20"/>
    </row>
    <row r="15" spans="1:17" ht="112" customHeight="1" x14ac:dyDescent="0.35">
      <c r="A15" s="18" t="s">
        <v>1518</v>
      </c>
      <c r="B15" s="16" t="s">
        <v>23</v>
      </c>
      <c r="C15" s="30" t="b">
        <v>0</v>
      </c>
      <c r="D15" s="31" t="b">
        <v>1</v>
      </c>
      <c r="E15" s="30" t="b">
        <v>0</v>
      </c>
      <c r="F15" s="30" t="b">
        <v>1</v>
      </c>
      <c r="G15" s="30" t="b">
        <v>0</v>
      </c>
      <c r="H15" s="32" t="b">
        <v>0</v>
      </c>
      <c r="I15" s="33" t="b">
        <v>0</v>
      </c>
      <c r="J15" s="25" t="s">
        <v>75</v>
      </c>
      <c r="K15" s="17" t="s">
        <v>15</v>
      </c>
      <c r="L15" s="13" t="s">
        <v>16</v>
      </c>
      <c r="M15" s="13" t="s">
        <v>1516</v>
      </c>
      <c r="N15" s="38"/>
      <c r="O15" s="39" t="str" cm="1">
        <f t="array" aca="1" ref="O15" ca="1">_xlfn.LET(_xlpm.activo,K15,_xlpm.horaTxt,J15,_xlpm.base,TODAY(),_xlpm.fechas,_xlpm.base+_xlfn.SEQUENCE(180,,0),_xlpm.hora,IF(ISNUMBER(_xlpm.horaTxt),_xlpm.horaTxt,IFERROR(TIMEVALUE(SUBSTITUTE(_xlpm.horaTxt," hrs","")),TIME(9,0,0))),_xlpm.dias,(C15*(WEEKDAY(_xlpm.fechas,2)=1))+(D15*(WEEKDAY(_xlpm.fechas,2)=2))+(E15*(WEEKDAY(_xlpm.fechas,2)=3))+(F15*(WEEKDAY(_xlpm.fechas,2)=4))+(G15*(WEEKDAY(_xlpm.fechas,2)=5))+(H15*(WEEKDAY(_xlpm.fechas,2)=6))+(I15*(WEEKDAY(_xlpm.fechas,2)=7)),_xlpm.validas,_xlfn._xlws.FILTER(_xlpm.fechas,(_xlpm.dias&gt;0)*((_xlpm.fechas+_xlpm.hora)&gt;=(NOW()-TIME(0,3,0)))),_xlpm.prox,_xlfn.TAKE(_xlpm.validas,4),IF(_xlpm.activo&lt;&gt;"SI","Inactivo",IF(SUMPRODUCT(--C15:I15)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15" s="20" t="s">
        <v>25</v>
      </c>
      <c r="Q15" s="20"/>
    </row>
    <row r="16" spans="1:17" ht="112" customHeight="1" x14ac:dyDescent="0.35">
      <c r="A16" s="18" t="s">
        <v>1518</v>
      </c>
      <c r="B16" s="16" t="s">
        <v>26</v>
      </c>
      <c r="C16" s="30" t="b">
        <v>0</v>
      </c>
      <c r="D16" s="30" t="b">
        <v>0</v>
      </c>
      <c r="E16" s="30" t="b">
        <v>0</v>
      </c>
      <c r="F16" s="30" t="b">
        <v>0</v>
      </c>
      <c r="G16" s="30" t="b">
        <v>0</v>
      </c>
      <c r="H16" s="32" t="b">
        <v>1</v>
      </c>
      <c r="I16" s="33" t="b">
        <v>0</v>
      </c>
      <c r="J16" s="17" t="s">
        <v>75</v>
      </c>
      <c r="K16" s="17" t="s">
        <v>15</v>
      </c>
      <c r="L16" s="13" t="s">
        <v>16</v>
      </c>
      <c r="M16" s="13" t="s">
        <v>1516</v>
      </c>
      <c r="N16" s="38"/>
      <c r="O16" s="39" t="str" cm="1">
        <f t="array" aca="1" ref="O16" ca="1">_xlfn.LET(_xlpm.activo,K16,_xlpm.horaTxt,J16,_xlpm.base,TODAY(),_xlpm.fechas,_xlpm.base+_xlfn.SEQUENCE(180,,0),_xlpm.hora,IF(ISNUMBER(_xlpm.horaTxt),_xlpm.horaTxt,IFERROR(TIMEVALUE(SUBSTITUTE(_xlpm.horaTxt," hrs","")),TIME(9,0,0))),_xlpm.dias,(C16*(WEEKDAY(_xlpm.fechas,2)=1))+(D16*(WEEKDAY(_xlpm.fechas,2)=2))+(E16*(WEEKDAY(_xlpm.fechas,2)=3))+(F16*(WEEKDAY(_xlpm.fechas,2)=4))+(G16*(WEEKDAY(_xlpm.fechas,2)=5))+(H16*(WEEKDAY(_xlpm.fechas,2)=6))+(I16*(WEEKDAY(_xlpm.fechas,2)=7)),_xlpm.validas,_xlfn._xlws.FILTER(_xlpm.fechas,(_xlpm.dias&gt;0)*((_xlpm.fechas+_xlpm.hora)&gt;=(NOW()-TIME(0,3,0)))),_xlpm.prox,_xlfn.TAKE(_xlpm.validas,4),IF(_xlpm.activo&lt;&gt;"SI","Inactivo",IF(SUMPRODUCT(--C16:I16)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16" s="20" t="s">
        <v>29</v>
      </c>
      <c r="Q16" s="20"/>
    </row>
    <row r="17" spans="1:17" ht="112" customHeight="1" x14ac:dyDescent="0.35">
      <c r="A17" s="26" t="s">
        <v>1519</v>
      </c>
      <c r="B17" s="16"/>
      <c r="C17" s="30"/>
      <c r="D17" s="30"/>
      <c r="E17" s="30"/>
      <c r="F17" s="30"/>
      <c r="G17" s="30"/>
      <c r="H17" s="32"/>
      <c r="I17" s="33"/>
      <c r="J17" s="17"/>
      <c r="K17" s="17"/>
      <c r="N17" s="35"/>
      <c r="O17" s="36"/>
      <c r="P17" s="20"/>
      <c r="Q17" s="20"/>
    </row>
    <row r="18" spans="1:17" ht="112" customHeight="1" x14ac:dyDescent="0.35">
      <c r="A18" s="19" t="s">
        <v>1520</v>
      </c>
      <c r="B18" s="16" t="s">
        <v>13</v>
      </c>
      <c r="C18" s="30" t="b">
        <v>0</v>
      </c>
      <c r="D18" s="30" t="b">
        <v>0</v>
      </c>
      <c r="E18" s="30" t="b">
        <v>0</v>
      </c>
      <c r="F18" s="30" t="b">
        <v>0</v>
      </c>
      <c r="G18" s="30" t="b">
        <v>0</v>
      </c>
      <c r="H18" s="32" t="b">
        <v>0</v>
      </c>
      <c r="I18" s="33" t="b">
        <v>0</v>
      </c>
      <c r="J18" s="17"/>
      <c r="K18" s="17" t="s">
        <v>15</v>
      </c>
      <c r="L18" s="13" t="s">
        <v>16</v>
      </c>
      <c r="M18" s="13" t="s">
        <v>1516</v>
      </c>
      <c r="N18" s="38"/>
      <c r="O18" s="39" t="str" cm="1">
        <f t="array" aca="1" ref="O18" ca="1">_xlfn.LET(_xlpm.activo,K18,_xlpm.horaTxt,J18,_xlpm.base,TODAY(),_xlpm.fechas,_xlpm.base+_xlfn.SEQUENCE(180,,0),_xlpm.hora,IF(ISNUMBER(_xlpm.horaTxt),_xlpm.horaTxt,IFERROR(TIMEVALUE(SUBSTITUTE(_xlpm.horaTxt," hrs","")),TIME(9,0,0))),_xlpm.dias,(C18*(WEEKDAY(_xlpm.fechas,2)=1))+(D18*(WEEKDAY(_xlpm.fechas,2)=2))+(E18*(WEEKDAY(_xlpm.fechas,2)=3))+(F18*(WEEKDAY(_xlpm.fechas,2)=4))+(G18*(WEEKDAY(_xlpm.fechas,2)=5))+(H18*(WEEKDAY(_xlpm.fechas,2)=6))+(I18*(WEEKDAY(_xlpm.fechas,2)=7)),_xlpm.validas,_xlfn._xlws.FILTER(_xlpm.fechas,(_xlpm.dias&gt;0)*((_xlpm.fechas+_xlpm.hora)&gt;=(NOW()-TIME(0,3,0)))),_xlpm.prox,_xlfn.TAKE(_xlpm.validas,4),IF(_xlpm.activo&lt;&gt;"SI","Inactivo",IF(SUMPRODUCT(--C18:I18)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18" s="20" t="s">
        <v>17</v>
      </c>
      <c r="Q18" s="20"/>
    </row>
    <row r="19" spans="1:17" ht="112" customHeight="1" x14ac:dyDescent="0.35">
      <c r="A19" s="19" t="s">
        <v>1520</v>
      </c>
      <c r="B19" s="16" t="s">
        <v>18</v>
      </c>
      <c r="C19" s="30" t="b">
        <v>1</v>
      </c>
      <c r="D19" s="31" t="b">
        <v>0</v>
      </c>
      <c r="E19" s="30" t="b">
        <v>0</v>
      </c>
      <c r="F19" s="30" t="b">
        <v>1</v>
      </c>
      <c r="G19" s="30" t="b">
        <v>0</v>
      </c>
      <c r="H19" s="32" t="b">
        <v>0</v>
      </c>
      <c r="I19" s="33" t="b">
        <v>0</v>
      </c>
      <c r="J19" s="25" t="s">
        <v>73</v>
      </c>
      <c r="K19" s="17" t="s">
        <v>15</v>
      </c>
      <c r="L19" s="13" t="s">
        <v>16</v>
      </c>
      <c r="M19" s="13" t="s">
        <v>1516</v>
      </c>
      <c r="N19" s="38"/>
      <c r="O19" s="39" t="str" cm="1">
        <f t="array" aca="1" ref="O19" ca="1">_xlfn.LET(_xlpm.activo,K19,_xlpm.horaTxt,J19,_xlpm.base,TODAY(),_xlpm.fechas,_xlpm.base+_xlfn.SEQUENCE(180,,0),_xlpm.hora,IF(ISNUMBER(_xlpm.horaTxt),_xlpm.horaTxt,IFERROR(TIMEVALUE(SUBSTITUTE(_xlpm.horaTxt," hrs","")),TIME(9,0,0))),_xlpm.dias,(C19*(WEEKDAY(_xlpm.fechas,2)=1))+(D19*(WEEKDAY(_xlpm.fechas,2)=2))+(E19*(WEEKDAY(_xlpm.fechas,2)=3))+(F19*(WEEKDAY(_xlpm.fechas,2)=4))+(G19*(WEEKDAY(_xlpm.fechas,2)=5))+(H19*(WEEKDAY(_xlpm.fechas,2)=6))+(I19*(WEEKDAY(_xlpm.fechas,2)=7)),_xlpm.validas,_xlfn._xlws.FILTER(_xlpm.fechas,(_xlpm.dias&gt;0)*((_xlpm.fechas+_xlpm.hora)&gt;=(NOW()-TIME(0,3,0)))),_xlpm.prox,_xlfn.TAKE(_xlpm.validas,4),IF(_xlpm.activo&lt;&gt;"SI","Inactivo",IF(SUMPRODUCT(--C19:I19)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19" s="20" t="s">
        <v>20</v>
      </c>
      <c r="Q19" s="20"/>
    </row>
    <row r="20" spans="1:17" ht="112" customHeight="1" x14ac:dyDescent="0.35">
      <c r="A20" s="19" t="s">
        <v>1520</v>
      </c>
      <c r="B20" s="16" t="s">
        <v>21</v>
      </c>
      <c r="C20" s="30" t="b">
        <v>1</v>
      </c>
      <c r="D20" s="31" t="b">
        <v>0</v>
      </c>
      <c r="E20" s="30" t="b">
        <v>0</v>
      </c>
      <c r="F20" s="30" t="b">
        <v>1</v>
      </c>
      <c r="G20" s="30" t="b">
        <v>0</v>
      </c>
      <c r="H20" s="32" t="b">
        <v>0</v>
      </c>
      <c r="I20" s="33" t="b">
        <v>0</v>
      </c>
      <c r="J20" s="25" t="s">
        <v>74</v>
      </c>
      <c r="K20" s="17" t="s">
        <v>15</v>
      </c>
      <c r="L20" s="13" t="s">
        <v>16</v>
      </c>
      <c r="M20" s="13" t="s">
        <v>1516</v>
      </c>
      <c r="N20" s="38"/>
      <c r="O20" s="39" t="str" cm="1">
        <f t="array" aca="1" ref="O20" ca="1">_xlfn.LET(_xlpm.activo,K20,_xlpm.horaTxt,J20,_xlpm.base,TODAY(),_xlpm.fechas,_xlpm.base+_xlfn.SEQUENCE(180,,0),_xlpm.hora,IF(ISNUMBER(_xlpm.horaTxt),_xlpm.horaTxt,IFERROR(TIMEVALUE(SUBSTITUTE(_xlpm.horaTxt," hrs","")),TIME(9,0,0))),_xlpm.dias,(C20*(WEEKDAY(_xlpm.fechas,2)=1))+(D20*(WEEKDAY(_xlpm.fechas,2)=2))+(E20*(WEEKDAY(_xlpm.fechas,2)=3))+(F20*(WEEKDAY(_xlpm.fechas,2)=4))+(G20*(WEEKDAY(_xlpm.fechas,2)=5))+(H20*(WEEKDAY(_xlpm.fechas,2)=6))+(I20*(WEEKDAY(_xlpm.fechas,2)=7)),_xlpm.validas,_xlfn._xlws.FILTER(_xlpm.fechas,(_xlpm.dias&gt;0)*((_xlpm.fechas+_xlpm.hora)&gt;=(NOW()-TIME(0,3,0)))),_xlpm.prox,_xlfn.TAKE(_xlpm.validas,4),IF(_xlpm.activo&lt;&gt;"SI","Inactivo",IF(SUMPRODUCT(--C20:I20)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20" s="20" t="s">
        <v>22</v>
      </c>
      <c r="Q20" s="20"/>
    </row>
    <row r="21" spans="1:17" ht="112" customHeight="1" x14ac:dyDescent="0.35">
      <c r="A21" s="19" t="s">
        <v>1520</v>
      </c>
      <c r="B21" s="16" t="s">
        <v>23</v>
      </c>
      <c r="C21" s="30" t="b">
        <v>0</v>
      </c>
      <c r="D21" s="31" t="b">
        <v>1</v>
      </c>
      <c r="E21" s="30" t="b">
        <v>0</v>
      </c>
      <c r="F21" s="30" t="b">
        <v>1</v>
      </c>
      <c r="G21" s="30" t="b">
        <v>0</v>
      </c>
      <c r="H21" s="32" t="b">
        <v>0</v>
      </c>
      <c r="I21" s="33" t="b">
        <v>0</v>
      </c>
      <c r="J21" s="25" t="s">
        <v>75</v>
      </c>
      <c r="K21" s="17" t="s">
        <v>15</v>
      </c>
      <c r="L21" s="13" t="s">
        <v>16</v>
      </c>
      <c r="M21" s="13" t="s">
        <v>1516</v>
      </c>
      <c r="N21" s="38"/>
      <c r="O21" s="39" t="str" cm="1">
        <f t="array" aca="1" ref="O21" ca="1">_xlfn.LET(_xlpm.activo,K21,_xlpm.horaTxt,J21,_xlpm.base,TODAY(),_xlpm.fechas,_xlpm.base+_xlfn.SEQUENCE(180,,0),_xlpm.hora,IF(ISNUMBER(_xlpm.horaTxt),_xlpm.horaTxt,IFERROR(TIMEVALUE(SUBSTITUTE(_xlpm.horaTxt," hrs","")),TIME(9,0,0))),_xlpm.dias,(C21*(WEEKDAY(_xlpm.fechas,2)=1))+(D21*(WEEKDAY(_xlpm.fechas,2)=2))+(E21*(WEEKDAY(_xlpm.fechas,2)=3))+(F21*(WEEKDAY(_xlpm.fechas,2)=4))+(G21*(WEEKDAY(_xlpm.fechas,2)=5))+(H21*(WEEKDAY(_xlpm.fechas,2)=6))+(I21*(WEEKDAY(_xlpm.fechas,2)=7)),_xlpm.validas,_xlfn._xlws.FILTER(_xlpm.fechas,(_xlpm.dias&gt;0)*((_xlpm.fechas+_xlpm.hora)&gt;=(NOW()-TIME(0,3,0)))),_xlpm.prox,_xlfn.TAKE(_xlpm.validas,4),IF(_xlpm.activo&lt;&gt;"SI","Inactivo",IF(SUMPRODUCT(--C21:I21)=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21" s="20" t="s">
        <v>25</v>
      </c>
      <c r="Q21" s="20"/>
    </row>
    <row r="22" spans="1:17" ht="112" customHeight="1" x14ac:dyDescent="0.35">
      <c r="A22" s="19" t="s">
        <v>1520</v>
      </c>
      <c r="B22" s="16" t="s">
        <v>26</v>
      </c>
      <c r="C22" s="30" t="b">
        <v>0</v>
      </c>
      <c r="D22" s="30" t="b">
        <v>0</v>
      </c>
      <c r="E22" s="30" t="b">
        <v>0</v>
      </c>
      <c r="F22" s="30" t="b">
        <v>0</v>
      </c>
      <c r="G22" s="30" t="b">
        <v>0</v>
      </c>
      <c r="H22" s="32" t="b">
        <v>1</v>
      </c>
      <c r="I22" s="33" t="b">
        <v>0</v>
      </c>
      <c r="J22" s="17" t="s">
        <v>75</v>
      </c>
      <c r="K22" s="17" t="s">
        <v>15</v>
      </c>
      <c r="L22" s="13" t="s">
        <v>16</v>
      </c>
      <c r="M22" s="13" t="s">
        <v>1516</v>
      </c>
      <c r="N22" s="38"/>
      <c r="O22" s="39" t="str" cm="1">
        <f t="array" aca="1" ref="O22" ca="1">_xlfn.LET(_xlpm.activo,K22,_xlpm.horaTxt,J22,_xlpm.base,TODAY(),_xlpm.fechas,_xlpm.base+_xlfn.SEQUENCE(180,,0),_xlpm.hora,IF(ISNUMBER(_xlpm.horaTxt),_xlpm.horaTxt,IFERROR(TIMEVALUE(SUBSTITUTE(_xlpm.horaTxt," hrs","")),TIME(9,0,0))),_xlpm.dias,(C22*(WEEKDAY(_xlpm.fechas,2)=1))+(D22*(WEEKDAY(_xlpm.fechas,2)=2))+(E22*(WEEKDAY(_xlpm.fechas,2)=3))+(F22*(WEEKDAY(_xlpm.fechas,2)=4))+(G22*(WEEKDAY(_xlpm.fechas,2)=5))+(H22*(WEEKDAY(_xlpm.fechas,2)=6))+(I22*(WEEKDAY(_xlpm.fechas,2)=7)),_xlpm.validas,_xlfn._xlws.FILTER(_xlpm.fechas,(_xlpm.dias&gt;0)*((_xlpm.fechas+_xlpm.hora)&gt;=(NOW()-TIME(0,3,0)))),_xlpm.prox,_xlfn.TAKE(_xlpm.validas,4),IF(_xlpm.activo&lt;&gt;"SI","Inactivo",IF(SUMPRODUCT(--C22:I22)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22" s="20" t="s">
        <v>29</v>
      </c>
      <c r="Q22" s="20"/>
    </row>
    <row r="23" spans="1:17" ht="112" customHeight="1" x14ac:dyDescent="0.35">
      <c r="A23" s="26" t="s">
        <v>1521</v>
      </c>
      <c r="B23" s="16"/>
      <c r="C23" s="30"/>
      <c r="D23" s="30"/>
      <c r="E23" s="30"/>
      <c r="F23" s="30"/>
      <c r="G23" s="30"/>
      <c r="H23" s="32"/>
      <c r="I23" s="33"/>
      <c r="J23" s="17"/>
      <c r="K23" s="17"/>
      <c r="N23" s="35"/>
      <c r="O23" s="36"/>
      <c r="P23" s="20"/>
      <c r="Q23" s="20"/>
    </row>
    <row r="24" spans="1:17" ht="112" customHeight="1" x14ac:dyDescent="0.35">
      <c r="A24" s="15" t="s">
        <v>1522</v>
      </c>
      <c r="B24" s="16" t="s">
        <v>13</v>
      </c>
      <c r="C24" s="30" t="b">
        <v>0</v>
      </c>
      <c r="D24" s="30" t="b">
        <v>0</v>
      </c>
      <c r="E24" s="30" t="b">
        <v>0</v>
      </c>
      <c r="F24" s="30" t="b">
        <v>0</v>
      </c>
      <c r="G24" s="30" t="b">
        <v>0</v>
      </c>
      <c r="H24" s="32" t="b">
        <v>0</v>
      </c>
      <c r="I24" s="33" t="b">
        <v>0</v>
      </c>
      <c r="J24" s="17"/>
      <c r="K24" s="17" t="s">
        <v>15</v>
      </c>
      <c r="L24" s="13" t="s">
        <v>16</v>
      </c>
      <c r="M24" s="13" t="s">
        <v>1516</v>
      </c>
      <c r="N24" s="38"/>
      <c r="O24" s="39" t="str" cm="1">
        <f t="array" aca="1" ref="O24" ca="1">_xlfn.LET(_xlpm.activo,K24,_xlpm.horaTxt,J24,_xlpm.base,TODAY(),_xlpm.fechas,_xlpm.base+_xlfn.SEQUENCE(180,,0),_xlpm.hora,IF(ISNUMBER(_xlpm.horaTxt),_xlpm.horaTxt,IFERROR(TIMEVALUE(SUBSTITUTE(_xlpm.horaTxt," hrs","")),TIME(9,0,0))),_xlpm.dias,(C24*(WEEKDAY(_xlpm.fechas,2)=1))+(D24*(WEEKDAY(_xlpm.fechas,2)=2))+(E24*(WEEKDAY(_xlpm.fechas,2)=3))+(F24*(WEEKDAY(_xlpm.fechas,2)=4))+(G24*(WEEKDAY(_xlpm.fechas,2)=5))+(H24*(WEEKDAY(_xlpm.fechas,2)=6))+(I24*(WEEKDAY(_xlpm.fechas,2)=7)),_xlpm.validas,_xlfn._xlws.FILTER(_xlpm.fechas,(_xlpm.dias&gt;0)*((_xlpm.fechas+_xlpm.hora)&gt;=(NOW()-TIME(0,3,0)))),_xlpm.prox,_xlfn.TAKE(_xlpm.validas,4),IF(_xlpm.activo&lt;&gt;"SI","Inactivo",IF(SUMPRODUCT(--C24:I24)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24" s="20" t="s">
        <v>17</v>
      </c>
      <c r="Q24" s="20"/>
    </row>
    <row r="25" spans="1:17" ht="112" customHeight="1" x14ac:dyDescent="0.35">
      <c r="A25" s="15" t="s">
        <v>1522</v>
      </c>
      <c r="B25" s="16" t="s">
        <v>18</v>
      </c>
      <c r="C25" s="30" t="b">
        <v>1</v>
      </c>
      <c r="D25" s="31" t="b">
        <v>0</v>
      </c>
      <c r="E25" s="30" t="b">
        <v>0</v>
      </c>
      <c r="F25" s="30" t="b">
        <v>1</v>
      </c>
      <c r="G25" s="30" t="b">
        <v>0</v>
      </c>
      <c r="H25" s="32" t="b">
        <v>0</v>
      </c>
      <c r="I25" s="33" t="b">
        <v>0</v>
      </c>
      <c r="J25" s="25" t="s">
        <v>73</v>
      </c>
      <c r="K25" s="17" t="s">
        <v>15</v>
      </c>
      <c r="L25" s="13" t="s">
        <v>16</v>
      </c>
      <c r="M25" s="13" t="s">
        <v>1516</v>
      </c>
      <c r="N25" s="38"/>
      <c r="O25" s="39" t="str" cm="1">
        <f t="array" aca="1" ref="O25" ca="1">_xlfn.LET(_xlpm.activo,K25,_xlpm.horaTxt,J25,_xlpm.base,TODAY(),_xlpm.fechas,_xlpm.base+_xlfn.SEQUENCE(180,,0),_xlpm.hora,IF(ISNUMBER(_xlpm.horaTxt),_xlpm.horaTxt,IFERROR(TIMEVALUE(SUBSTITUTE(_xlpm.horaTxt," hrs","")),TIME(9,0,0))),_xlpm.dias,(C25*(WEEKDAY(_xlpm.fechas,2)=1))+(D25*(WEEKDAY(_xlpm.fechas,2)=2))+(E25*(WEEKDAY(_xlpm.fechas,2)=3))+(F25*(WEEKDAY(_xlpm.fechas,2)=4))+(G25*(WEEKDAY(_xlpm.fechas,2)=5))+(H25*(WEEKDAY(_xlpm.fechas,2)=6))+(I25*(WEEKDAY(_xlpm.fechas,2)=7)),_xlpm.validas,_xlfn._xlws.FILTER(_xlpm.fechas,(_xlpm.dias&gt;0)*((_xlpm.fechas+_xlpm.hora)&gt;=(NOW()-TIME(0,3,0)))),_xlpm.prox,_xlfn.TAKE(_xlpm.validas,4),IF(_xlpm.activo&lt;&gt;"SI","Inactivo",IF(SUMPRODUCT(--C25:I25)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25" s="20" t="s">
        <v>20</v>
      </c>
      <c r="Q25" s="20"/>
    </row>
    <row r="26" spans="1:17" ht="112" customHeight="1" x14ac:dyDescent="0.35">
      <c r="A26" s="15" t="s">
        <v>1522</v>
      </c>
      <c r="B26" s="16" t="s">
        <v>21</v>
      </c>
      <c r="C26" s="30" t="b">
        <v>1</v>
      </c>
      <c r="D26" s="31" t="b">
        <v>0</v>
      </c>
      <c r="E26" s="30" t="b">
        <v>0</v>
      </c>
      <c r="F26" s="30" t="b">
        <v>1</v>
      </c>
      <c r="G26" s="30" t="b">
        <v>0</v>
      </c>
      <c r="H26" s="32" t="b">
        <v>0</v>
      </c>
      <c r="I26" s="33" t="b">
        <v>0</v>
      </c>
      <c r="J26" s="25" t="s">
        <v>74</v>
      </c>
      <c r="K26" s="17" t="s">
        <v>15</v>
      </c>
      <c r="L26" s="13" t="s">
        <v>16</v>
      </c>
      <c r="M26" s="13" t="s">
        <v>1516</v>
      </c>
      <c r="N26" s="38"/>
      <c r="O26" s="39" t="str" cm="1">
        <f t="array" aca="1" ref="O26" ca="1">_xlfn.LET(_xlpm.activo,K26,_xlpm.horaTxt,J26,_xlpm.base,TODAY(),_xlpm.fechas,_xlpm.base+_xlfn.SEQUENCE(180,,0),_xlpm.hora,IF(ISNUMBER(_xlpm.horaTxt),_xlpm.horaTxt,IFERROR(TIMEVALUE(SUBSTITUTE(_xlpm.horaTxt," hrs","")),TIME(9,0,0))),_xlpm.dias,(C26*(WEEKDAY(_xlpm.fechas,2)=1))+(D26*(WEEKDAY(_xlpm.fechas,2)=2))+(E26*(WEEKDAY(_xlpm.fechas,2)=3))+(F26*(WEEKDAY(_xlpm.fechas,2)=4))+(G26*(WEEKDAY(_xlpm.fechas,2)=5))+(H26*(WEEKDAY(_xlpm.fechas,2)=6))+(I26*(WEEKDAY(_xlpm.fechas,2)=7)),_xlpm.validas,_xlfn._xlws.FILTER(_xlpm.fechas,(_xlpm.dias&gt;0)*((_xlpm.fechas+_xlpm.hora)&gt;=(NOW()-TIME(0,3,0)))),_xlpm.prox,_xlfn.TAKE(_xlpm.validas,4),IF(_xlpm.activo&lt;&gt;"SI","Inactivo",IF(SUMPRODUCT(--C26:I26)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26" s="20" t="s">
        <v>22</v>
      </c>
      <c r="Q26" s="20"/>
    </row>
    <row r="27" spans="1:17" ht="112" customHeight="1" x14ac:dyDescent="0.35">
      <c r="A27" s="15" t="s">
        <v>1522</v>
      </c>
      <c r="B27" s="16" t="s">
        <v>23</v>
      </c>
      <c r="C27" s="30" t="b">
        <v>0</v>
      </c>
      <c r="D27" s="31" t="b">
        <v>1</v>
      </c>
      <c r="E27" s="30" t="b">
        <v>0</v>
      </c>
      <c r="F27" s="30" t="b">
        <v>1</v>
      </c>
      <c r="G27" s="30" t="b">
        <v>0</v>
      </c>
      <c r="H27" s="32" t="b">
        <v>0</v>
      </c>
      <c r="I27" s="33" t="b">
        <v>0</v>
      </c>
      <c r="J27" s="25" t="s">
        <v>75</v>
      </c>
      <c r="K27" s="17" t="s">
        <v>15</v>
      </c>
      <c r="L27" s="13" t="s">
        <v>16</v>
      </c>
      <c r="M27" s="13" t="s">
        <v>1516</v>
      </c>
      <c r="N27" s="38"/>
      <c r="O27" s="39" t="str" cm="1">
        <f t="array" aca="1" ref="O27" ca="1">_xlfn.LET(_xlpm.activo,K27,_xlpm.horaTxt,J27,_xlpm.base,TODAY(),_xlpm.fechas,_xlpm.base+_xlfn.SEQUENCE(180,,0),_xlpm.hora,IF(ISNUMBER(_xlpm.horaTxt),_xlpm.horaTxt,IFERROR(TIMEVALUE(SUBSTITUTE(_xlpm.horaTxt," hrs","")),TIME(9,0,0))),_xlpm.dias,(C27*(WEEKDAY(_xlpm.fechas,2)=1))+(D27*(WEEKDAY(_xlpm.fechas,2)=2))+(E27*(WEEKDAY(_xlpm.fechas,2)=3))+(F27*(WEEKDAY(_xlpm.fechas,2)=4))+(G27*(WEEKDAY(_xlpm.fechas,2)=5))+(H27*(WEEKDAY(_xlpm.fechas,2)=6))+(I27*(WEEKDAY(_xlpm.fechas,2)=7)),_xlpm.validas,_xlfn._xlws.FILTER(_xlpm.fechas,(_xlpm.dias&gt;0)*((_xlpm.fechas+_xlpm.hora)&gt;=(NOW()-TIME(0,3,0)))),_xlpm.prox,_xlfn.TAKE(_xlpm.validas,4),IF(_xlpm.activo&lt;&gt;"SI","Inactivo",IF(SUMPRODUCT(--C27:I27)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27" s="20" t="s">
        <v>25</v>
      </c>
      <c r="Q27" s="20"/>
    </row>
    <row r="28" spans="1:17" ht="112" customHeight="1" x14ac:dyDescent="0.35">
      <c r="A28" s="15" t="s">
        <v>1522</v>
      </c>
      <c r="B28" s="16" t="s">
        <v>26</v>
      </c>
      <c r="C28" s="30" t="b">
        <v>0</v>
      </c>
      <c r="D28" s="30" t="b">
        <v>0</v>
      </c>
      <c r="E28" s="30" t="b">
        <v>0</v>
      </c>
      <c r="F28" s="30" t="b">
        <v>0</v>
      </c>
      <c r="G28" s="30" t="b">
        <v>0</v>
      </c>
      <c r="H28" s="32" t="b">
        <v>1</v>
      </c>
      <c r="I28" s="33" t="b">
        <v>0</v>
      </c>
      <c r="J28" s="17" t="s">
        <v>75</v>
      </c>
      <c r="K28" s="17" t="s">
        <v>15</v>
      </c>
      <c r="L28" s="13" t="s">
        <v>16</v>
      </c>
      <c r="M28" s="13" t="s">
        <v>1516</v>
      </c>
      <c r="N28" s="38"/>
      <c r="O28" s="39" t="str" cm="1">
        <f t="array" aca="1" ref="O28" ca="1">_xlfn.LET(_xlpm.activo,K28,_xlpm.horaTxt,J28,_xlpm.base,TODAY(),_xlpm.fechas,_xlpm.base+_xlfn.SEQUENCE(180,,0),_xlpm.hora,IF(ISNUMBER(_xlpm.horaTxt),_xlpm.horaTxt,IFERROR(TIMEVALUE(SUBSTITUTE(_xlpm.horaTxt," hrs","")),TIME(9,0,0))),_xlpm.dias,(C28*(WEEKDAY(_xlpm.fechas,2)=1))+(D28*(WEEKDAY(_xlpm.fechas,2)=2))+(E28*(WEEKDAY(_xlpm.fechas,2)=3))+(F28*(WEEKDAY(_xlpm.fechas,2)=4))+(G28*(WEEKDAY(_xlpm.fechas,2)=5))+(H28*(WEEKDAY(_xlpm.fechas,2)=6))+(I28*(WEEKDAY(_xlpm.fechas,2)=7)),_xlpm.validas,_xlfn._xlws.FILTER(_xlpm.fechas,(_xlpm.dias&gt;0)*((_xlpm.fechas+_xlpm.hora)&gt;=(NOW()-TIME(0,3,0)))),_xlpm.prox,_xlfn.TAKE(_xlpm.validas,4),IF(_xlpm.activo&lt;&gt;"SI","Inactivo",IF(SUMPRODUCT(--C28:I28)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28" s="20" t="s">
        <v>29</v>
      </c>
      <c r="Q28" s="20"/>
    </row>
    <row r="29" spans="1:17" ht="112" customHeight="1" x14ac:dyDescent="0.35">
      <c r="A29" s="26" t="s">
        <v>1523</v>
      </c>
      <c r="B29" s="16"/>
      <c r="C29" s="30"/>
      <c r="D29" s="30"/>
      <c r="E29" s="30"/>
      <c r="F29" s="30"/>
      <c r="G29" s="30"/>
      <c r="H29" s="32"/>
      <c r="I29" s="33"/>
      <c r="J29" s="17"/>
      <c r="K29" s="17"/>
      <c r="N29" s="35"/>
      <c r="O29" s="36"/>
      <c r="P29" s="20"/>
      <c r="Q29" s="20"/>
    </row>
    <row r="30" spans="1:17" ht="112" customHeight="1" x14ac:dyDescent="0.35">
      <c r="A30" s="18" t="s">
        <v>1524</v>
      </c>
      <c r="B30" s="16" t="s">
        <v>13</v>
      </c>
      <c r="C30" s="30" t="b">
        <v>0</v>
      </c>
      <c r="D30" s="30" t="b">
        <v>0</v>
      </c>
      <c r="E30" s="30" t="b">
        <v>0</v>
      </c>
      <c r="F30" s="30" t="b">
        <v>0</v>
      </c>
      <c r="G30" s="30" t="b">
        <v>0</v>
      </c>
      <c r="H30" s="32" t="b">
        <v>0</v>
      </c>
      <c r="I30" s="33" t="b">
        <v>0</v>
      </c>
      <c r="J30" s="17"/>
      <c r="K30" s="17" t="s">
        <v>15</v>
      </c>
      <c r="L30" s="13" t="s">
        <v>16</v>
      </c>
      <c r="M30" s="13" t="s">
        <v>1516</v>
      </c>
      <c r="N30" s="38"/>
      <c r="O30" s="39" t="str" cm="1">
        <f t="array" aca="1" ref="O30" ca="1">_xlfn.LET(_xlpm.activo,K30,_xlpm.horaTxt,J30,_xlpm.base,TODAY(),_xlpm.fechas,_xlpm.base+_xlfn.SEQUENCE(180,,0),_xlpm.hora,IF(ISNUMBER(_xlpm.horaTxt),_xlpm.horaTxt,IFERROR(TIMEVALUE(SUBSTITUTE(_xlpm.horaTxt," hrs","")),TIME(9,0,0))),_xlpm.dias,(C30*(WEEKDAY(_xlpm.fechas,2)=1))+(D30*(WEEKDAY(_xlpm.fechas,2)=2))+(E30*(WEEKDAY(_xlpm.fechas,2)=3))+(F30*(WEEKDAY(_xlpm.fechas,2)=4))+(G30*(WEEKDAY(_xlpm.fechas,2)=5))+(H30*(WEEKDAY(_xlpm.fechas,2)=6))+(I30*(WEEKDAY(_xlpm.fechas,2)=7)),_xlpm.validas,_xlfn._xlws.FILTER(_xlpm.fechas,(_xlpm.dias&gt;0)*((_xlpm.fechas+_xlpm.hora)&gt;=(NOW()-TIME(0,3,0)))),_xlpm.prox,_xlfn.TAKE(_xlpm.validas,4),IF(_xlpm.activo&lt;&gt;"SI","Inactivo",IF(SUMPRODUCT(--C30:I30)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30" s="20" t="s">
        <v>17</v>
      </c>
      <c r="Q30" s="20"/>
    </row>
    <row r="31" spans="1:17" ht="112" customHeight="1" x14ac:dyDescent="0.35">
      <c r="A31" s="18" t="s">
        <v>1524</v>
      </c>
      <c r="B31" s="16" t="s">
        <v>18</v>
      </c>
      <c r="C31" s="30" t="b">
        <v>1</v>
      </c>
      <c r="D31" s="31" t="b">
        <v>0</v>
      </c>
      <c r="E31" s="30" t="b">
        <v>0</v>
      </c>
      <c r="F31" s="30" t="b">
        <v>1</v>
      </c>
      <c r="G31" s="30" t="b">
        <v>0</v>
      </c>
      <c r="H31" s="32" t="b">
        <v>0</v>
      </c>
      <c r="I31" s="33" t="b">
        <v>0</v>
      </c>
      <c r="J31" s="25" t="s">
        <v>73</v>
      </c>
      <c r="K31" s="17" t="s">
        <v>15</v>
      </c>
      <c r="L31" s="13" t="s">
        <v>16</v>
      </c>
      <c r="M31" s="13" t="s">
        <v>1516</v>
      </c>
      <c r="N31" s="38"/>
      <c r="O31" s="39" t="str" cm="1">
        <f t="array" aca="1" ref="O31" ca="1">_xlfn.LET(_xlpm.activo,K31,_xlpm.horaTxt,J31,_xlpm.base,TODAY(),_xlpm.fechas,_xlpm.base+_xlfn.SEQUENCE(180,,0),_xlpm.hora,IF(ISNUMBER(_xlpm.horaTxt),_xlpm.horaTxt,IFERROR(TIMEVALUE(SUBSTITUTE(_xlpm.horaTxt," hrs","")),TIME(9,0,0))),_xlpm.dias,(C31*(WEEKDAY(_xlpm.fechas,2)=1))+(D31*(WEEKDAY(_xlpm.fechas,2)=2))+(E31*(WEEKDAY(_xlpm.fechas,2)=3))+(F31*(WEEKDAY(_xlpm.fechas,2)=4))+(G31*(WEEKDAY(_xlpm.fechas,2)=5))+(H31*(WEEKDAY(_xlpm.fechas,2)=6))+(I31*(WEEKDAY(_xlpm.fechas,2)=7)),_xlpm.validas,_xlfn._xlws.FILTER(_xlpm.fechas,(_xlpm.dias&gt;0)*((_xlpm.fechas+_xlpm.hora)&gt;=(NOW()-TIME(0,3,0)))),_xlpm.prox,_xlfn.TAKE(_xlpm.validas,4),IF(_xlpm.activo&lt;&gt;"SI","Inactivo",IF(SUMPRODUCT(--C31:I31)=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31" s="20" t="s">
        <v>20</v>
      </c>
      <c r="Q31" s="20"/>
    </row>
    <row r="32" spans="1:17" ht="112" customHeight="1" x14ac:dyDescent="0.35">
      <c r="A32" s="18" t="s">
        <v>1524</v>
      </c>
      <c r="B32" s="16" t="s">
        <v>21</v>
      </c>
      <c r="C32" s="30" t="b">
        <v>1</v>
      </c>
      <c r="D32" s="31" t="b">
        <v>0</v>
      </c>
      <c r="E32" s="30" t="b">
        <v>0</v>
      </c>
      <c r="F32" s="30" t="b">
        <v>1</v>
      </c>
      <c r="G32" s="30" t="b">
        <v>0</v>
      </c>
      <c r="H32" s="32" t="b">
        <v>0</v>
      </c>
      <c r="I32" s="33" t="b">
        <v>0</v>
      </c>
      <c r="J32" s="25" t="s">
        <v>74</v>
      </c>
      <c r="K32" s="17" t="s">
        <v>15</v>
      </c>
      <c r="L32" s="13" t="s">
        <v>16</v>
      </c>
      <c r="M32" s="13" t="s">
        <v>1516</v>
      </c>
      <c r="N32" s="38"/>
      <c r="O32" s="39" t="str" cm="1">
        <f t="array" aca="1" ref="O32" ca="1">_xlfn.LET(_xlpm.activo,K32,_xlpm.horaTxt,J32,_xlpm.base,TODAY(),_xlpm.fechas,_xlpm.base+_xlfn.SEQUENCE(180,,0),_xlpm.hora,IF(ISNUMBER(_xlpm.horaTxt),_xlpm.horaTxt,IFERROR(TIMEVALUE(SUBSTITUTE(_xlpm.horaTxt," hrs","")),TIME(9,0,0))),_xlpm.dias,(C32*(WEEKDAY(_xlpm.fechas,2)=1))+(D32*(WEEKDAY(_xlpm.fechas,2)=2))+(E32*(WEEKDAY(_xlpm.fechas,2)=3))+(F32*(WEEKDAY(_xlpm.fechas,2)=4))+(G32*(WEEKDAY(_xlpm.fechas,2)=5))+(H32*(WEEKDAY(_xlpm.fechas,2)=6))+(I32*(WEEKDAY(_xlpm.fechas,2)=7)),_xlpm.validas,_xlfn._xlws.FILTER(_xlpm.fechas,(_xlpm.dias&gt;0)*((_xlpm.fechas+_xlpm.hora)&gt;=(NOW()-TIME(0,3,0)))),_xlpm.prox,_xlfn.TAKE(_xlpm.validas,4),IF(_xlpm.activo&lt;&gt;"SI","Inactivo",IF(SUMPRODUCT(--C32:I32)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32" s="20" t="s">
        <v>22</v>
      </c>
      <c r="Q32" s="20"/>
    </row>
    <row r="33" spans="1:17" ht="112" customHeight="1" x14ac:dyDescent="0.35">
      <c r="A33" s="18" t="s">
        <v>1524</v>
      </c>
      <c r="B33" s="16" t="s">
        <v>23</v>
      </c>
      <c r="C33" s="30" t="b">
        <v>0</v>
      </c>
      <c r="D33" s="31" t="b">
        <v>1</v>
      </c>
      <c r="E33" s="30" t="b">
        <v>0</v>
      </c>
      <c r="F33" s="30" t="b">
        <v>1</v>
      </c>
      <c r="G33" s="30" t="b">
        <v>0</v>
      </c>
      <c r="H33" s="32" t="b">
        <v>0</v>
      </c>
      <c r="I33" s="33" t="b">
        <v>0</v>
      </c>
      <c r="J33" s="25" t="s">
        <v>75</v>
      </c>
      <c r="K33" s="17" t="s">
        <v>15</v>
      </c>
      <c r="L33" s="13" t="s">
        <v>16</v>
      </c>
      <c r="M33" s="13" t="s">
        <v>1516</v>
      </c>
      <c r="N33" s="38"/>
      <c r="O33" s="39" t="str" cm="1">
        <f t="array" aca="1" ref="O33" ca="1">_xlfn.LET(_xlpm.activo,K33,_xlpm.horaTxt,J33,_xlpm.base,TODAY(),_xlpm.fechas,_xlpm.base+_xlfn.SEQUENCE(180,,0),_xlpm.hora,IF(ISNUMBER(_xlpm.horaTxt),_xlpm.horaTxt,IFERROR(TIMEVALUE(SUBSTITUTE(_xlpm.horaTxt," hrs","")),TIME(9,0,0))),_xlpm.dias,(C33*(WEEKDAY(_xlpm.fechas,2)=1))+(D33*(WEEKDAY(_xlpm.fechas,2)=2))+(E33*(WEEKDAY(_xlpm.fechas,2)=3))+(F33*(WEEKDAY(_xlpm.fechas,2)=4))+(G33*(WEEKDAY(_xlpm.fechas,2)=5))+(H33*(WEEKDAY(_xlpm.fechas,2)=6))+(I33*(WEEKDAY(_xlpm.fechas,2)=7)),_xlpm.validas,_xlfn._xlws.FILTER(_xlpm.fechas,(_xlpm.dias&gt;0)*((_xlpm.fechas+_xlpm.hora)&gt;=(NOW()-TIME(0,3,0)))),_xlpm.prox,_xlfn.TAKE(_xlpm.validas,4),IF(_xlpm.activo&lt;&gt;"SI","Inactivo",IF(SUMPRODUCT(--C33:I33)=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33" s="20" t="s">
        <v>25</v>
      </c>
      <c r="Q33" s="20"/>
    </row>
    <row r="34" spans="1:17" ht="112" customHeight="1" x14ac:dyDescent="0.35">
      <c r="A34" s="18" t="s">
        <v>1524</v>
      </c>
      <c r="B34" s="16" t="s">
        <v>26</v>
      </c>
      <c r="C34" s="30" t="b">
        <v>0</v>
      </c>
      <c r="D34" s="30" t="b">
        <v>0</v>
      </c>
      <c r="E34" s="30" t="b">
        <v>0</v>
      </c>
      <c r="F34" s="30" t="b">
        <v>0</v>
      </c>
      <c r="G34" s="30" t="b">
        <v>0</v>
      </c>
      <c r="H34" s="32" t="b">
        <v>1</v>
      </c>
      <c r="I34" s="33" t="b">
        <v>0</v>
      </c>
      <c r="J34" s="17" t="s">
        <v>75</v>
      </c>
      <c r="K34" s="17" t="s">
        <v>15</v>
      </c>
      <c r="L34" s="13" t="s">
        <v>16</v>
      </c>
      <c r="M34" s="13" t="s">
        <v>1516</v>
      </c>
      <c r="N34" s="38"/>
      <c r="O34" s="39" t="str" cm="1">
        <f t="array" aca="1" ref="O34" ca="1">_xlfn.LET(_xlpm.activo,K34,_xlpm.horaTxt,J34,_xlpm.base,TODAY(),_xlpm.fechas,_xlpm.base+_xlfn.SEQUENCE(180,,0),_xlpm.hora,IF(ISNUMBER(_xlpm.horaTxt),_xlpm.horaTxt,IFERROR(TIMEVALUE(SUBSTITUTE(_xlpm.horaTxt," hrs","")),TIME(9,0,0))),_xlpm.dias,(C34*(WEEKDAY(_xlpm.fechas,2)=1))+(D34*(WEEKDAY(_xlpm.fechas,2)=2))+(E34*(WEEKDAY(_xlpm.fechas,2)=3))+(F34*(WEEKDAY(_xlpm.fechas,2)=4))+(G34*(WEEKDAY(_xlpm.fechas,2)=5))+(H34*(WEEKDAY(_xlpm.fechas,2)=6))+(I34*(WEEKDAY(_xlpm.fechas,2)=7)),_xlpm.validas,_xlfn._xlws.FILTER(_xlpm.fechas,(_xlpm.dias&gt;0)*((_xlpm.fechas+_xlpm.hora)&gt;=(NOW()-TIME(0,3,0)))),_xlpm.prox,_xlfn.TAKE(_xlpm.validas,4),IF(_xlpm.activo&lt;&gt;"SI","Inactivo",IF(SUMPRODUCT(--C34:I34)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34" s="20" t="s">
        <v>29</v>
      </c>
      <c r="Q34" s="20"/>
    </row>
    <row r="35" spans="1:17" ht="112" customHeight="1" x14ac:dyDescent="0.35">
      <c r="A35" s="26" t="s">
        <v>1525</v>
      </c>
      <c r="B35" s="16"/>
      <c r="C35" s="30"/>
      <c r="D35" s="30"/>
      <c r="E35" s="30"/>
      <c r="F35" s="30"/>
      <c r="G35" s="30"/>
      <c r="H35" s="32"/>
      <c r="I35" s="33"/>
      <c r="J35" s="17"/>
      <c r="K35" s="17"/>
      <c r="N35" s="35"/>
      <c r="O35" s="36"/>
      <c r="P35" s="20"/>
      <c r="Q35" s="20"/>
    </row>
    <row r="36" spans="1:17" ht="112" customHeight="1" x14ac:dyDescent="0.35">
      <c r="A36" s="19" t="s">
        <v>1526</v>
      </c>
      <c r="B36" s="16" t="s">
        <v>13</v>
      </c>
      <c r="C36" s="30" t="b">
        <v>0</v>
      </c>
      <c r="D36" s="30" t="b">
        <v>0</v>
      </c>
      <c r="E36" s="30" t="b">
        <v>0</v>
      </c>
      <c r="F36" s="30" t="b">
        <v>0</v>
      </c>
      <c r="G36" s="30" t="b">
        <v>0</v>
      </c>
      <c r="H36" s="32" t="b">
        <v>0</v>
      </c>
      <c r="I36" s="33" t="b">
        <v>0</v>
      </c>
      <c r="J36" s="17"/>
      <c r="K36" s="17" t="s">
        <v>15</v>
      </c>
      <c r="L36" s="13" t="s">
        <v>16</v>
      </c>
      <c r="M36" s="13" t="s">
        <v>1516</v>
      </c>
      <c r="N36" s="38"/>
      <c r="O36" s="39" t="str" cm="1">
        <f t="array" aca="1" ref="O36" ca="1">_xlfn.LET(_xlpm.activo,K36,_xlpm.horaTxt,J36,_xlpm.base,TODAY(),_xlpm.fechas,_xlpm.base+_xlfn.SEQUENCE(180,,0),_xlpm.hora,IF(ISNUMBER(_xlpm.horaTxt),_xlpm.horaTxt,IFERROR(TIMEVALUE(SUBSTITUTE(_xlpm.horaTxt," hrs","")),TIME(9,0,0))),_xlpm.dias,(C36*(WEEKDAY(_xlpm.fechas,2)=1))+(D36*(WEEKDAY(_xlpm.fechas,2)=2))+(E36*(WEEKDAY(_xlpm.fechas,2)=3))+(F36*(WEEKDAY(_xlpm.fechas,2)=4))+(G36*(WEEKDAY(_xlpm.fechas,2)=5))+(H36*(WEEKDAY(_xlpm.fechas,2)=6))+(I36*(WEEKDAY(_xlpm.fechas,2)=7)),_xlpm.validas,_xlfn._xlws.FILTER(_xlpm.fechas,(_xlpm.dias&gt;0)*((_xlpm.fechas+_xlpm.hora)&gt;=(NOW()-TIME(0,3,0)))),_xlpm.prox,_xlfn.TAKE(_xlpm.validas,4),IF(_xlpm.activo&lt;&gt;"SI","Inactivo",IF(SUMPRODUCT(--C36:I36)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36" s="20" t="s">
        <v>17</v>
      </c>
      <c r="Q36" s="20"/>
    </row>
    <row r="37" spans="1:17" ht="112" customHeight="1" x14ac:dyDescent="0.35">
      <c r="A37" s="19" t="s">
        <v>1526</v>
      </c>
      <c r="B37" s="16" t="s">
        <v>18</v>
      </c>
      <c r="C37" s="30" t="b">
        <v>1</v>
      </c>
      <c r="D37" s="31" t="b">
        <v>0</v>
      </c>
      <c r="E37" s="30" t="b">
        <v>0</v>
      </c>
      <c r="F37" s="30" t="b">
        <v>1</v>
      </c>
      <c r="G37" s="30" t="b">
        <v>0</v>
      </c>
      <c r="H37" s="32" t="b">
        <v>0</v>
      </c>
      <c r="I37" s="33" t="b">
        <v>0</v>
      </c>
      <c r="J37" s="25" t="s">
        <v>73</v>
      </c>
      <c r="K37" s="17" t="s">
        <v>15</v>
      </c>
      <c r="L37" s="13" t="s">
        <v>16</v>
      </c>
      <c r="M37" s="13" t="s">
        <v>1516</v>
      </c>
      <c r="N37" s="38"/>
      <c r="O37" s="39" t="str" cm="1">
        <f t="array" aca="1" ref="O37" ca="1">_xlfn.LET(_xlpm.activo,K37,_xlpm.horaTxt,J37,_xlpm.base,TODAY(),_xlpm.fechas,_xlpm.base+_xlfn.SEQUENCE(180,,0),_xlpm.hora,IF(ISNUMBER(_xlpm.horaTxt),_xlpm.horaTxt,IFERROR(TIMEVALUE(SUBSTITUTE(_xlpm.horaTxt," hrs","")),TIME(9,0,0))),_xlpm.dias,(C37*(WEEKDAY(_xlpm.fechas,2)=1))+(D37*(WEEKDAY(_xlpm.fechas,2)=2))+(E37*(WEEKDAY(_xlpm.fechas,2)=3))+(F37*(WEEKDAY(_xlpm.fechas,2)=4))+(G37*(WEEKDAY(_xlpm.fechas,2)=5))+(H37*(WEEKDAY(_xlpm.fechas,2)=6))+(I37*(WEEKDAY(_xlpm.fechas,2)=7)),_xlpm.validas,_xlfn._xlws.FILTER(_xlpm.fechas,(_xlpm.dias&gt;0)*((_xlpm.fechas+_xlpm.hora)&gt;=(NOW()-TIME(0,3,0)))),_xlpm.prox,_xlfn.TAKE(_xlpm.validas,4),IF(_xlpm.activo&lt;&gt;"SI","Inactivo",IF(SUMPRODUCT(--C37:I37)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37" s="20" t="s">
        <v>20</v>
      </c>
      <c r="Q37" s="20"/>
    </row>
    <row r="38" spans="1:17" ht="112" customHeight="1" x14ac:dyDescent="0.35">
      <c r="A38" s="19" t="s">
        <v>1526</v>
      </c>
      <c r="B38" s="16" t="s">
        <v>21</v>
      </c>
      <c r="C38" s="30" t="b">
        <v>1</v>
      </c>
      <c r="D38" s="31" t="b">
        <v>0</v>
      </c>
      <c r="E38" s="30" t="b">
        <v>0</v>
      </c>
      <c r="F38" s="30" t="b">
        <v>1</v>
      </c>
      <c r="G38" s="30" t="b">
        <v>0</v>
      </c>
      <c r="H38" s="32" t="b">
        <v>0</v>
      </c>
      <c r="I38" s="33" t="b">
        <v>0</v>
      </c>
      <c r="J38" s="25" t="s">
        <v>74</v>
      </c>
      <c r="K38" s="17" t="s">
        <v>15</v>
      </c>
      <c r="L38" s="13" t="s">
        <v>16</v>
      </c>
      <c r="M38" s="13" t="s">
        <v>1516</v>
      </c>
      <c r="N38" s="38"/>
      <c r="O38" s="39" t="str" cm="1">
        <f t="array" aca="1" ref="O38" ca="1">_xlfn.LET(_xlpm.activo,K38,_xlpm.horaTxt,J38,_xlpm.base,TODAY(),_xlpm.fechas,_xlpm.base+_xlfn.SEQUENCE(180,,0),_xlpm.hora,IF(ISNUMBER(_xlpm.horaTxt),_xlpm.horaTxt,IFERROR(TIMEVALUE(SUBSTITUTE(_xlpm.horaTxt," hrs","")),TIME(9,0,0))),_xlpm.dias,(C38*(WEEKDAY(_xlpm.fechas,2)=1))+(D38*(WEEKDAY(_xlpm.fechas,2)=2))+(E38*(WEEKDAY(_xlpm.fechas,2)=3))+(F38*(WEEKDAY(_xlpm.fechas,2)=4))+(G38*(WEEKDAY(_xlpm.fechas,2)=5))+(H38*(WEEKDAY(_xlpm.fechas,2)=6))+(I38*(WEEKDAY(_xlpm.fechas,2)=7)),_xlpm.validas,_xlfn._xlws.FILTER(_xlpm.fechas,(_xlpm.dias&gt;0)*((_xlpm.fechas+_xlpm.hora)&gt;=(NOW()-TIME(0,3,0)))),_xlpm.prox,_xlfn.TAKE(_xlpm.validas,4),IF(_xlpm.activo&lt;&gt;"SI","Inactivo",IF(SUMPRODUCT(--C38:I38)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38" s="20" t="s">
        <v>22</v>
      </c>
      <c r="Q38" s="20"/>
    </row>
    <row r="39" spans="1:17" ht="112" customHeight="1" x14ac:dyDescent="0.35">
      <c r="A39" s="19" t="s">
        <v>1526</v>
      </c>
      <c r="B39" s="16" t="s">
        <v>23</v>
      </c>
      <c r="C39" s="30" t="b">
        <v>0</v>
      </c>
      <c r="D39" s="31" t="b">
        <v>1</v>
      </c>
      <c r="E39" s="30" t="b">
        <v>0</v>
      </c>
      <c r="F39" s="30" t="b">
        <v>1</v>
      </c>
      <c r="G39" s="30" t="b">
        <v>0</v>
      </c>
      <c r="H39" s="32" t="b">
        <v>0</v>
      </c>
      <c r="I39" s="33" t="b">
        <v>0</v>
      </c>
      <c r="J39" s="25" t="s">
        <v>75</v>
      </c>
      <c r="K39" s="17" t="s">
        <v>15</v>
      </c>
      <c r="L39" s="13" t="s">
        <v>16</v>
      </c>
      <c r="M39" s="13" t="s">
        <v>1516</v>
      </c>
      <c r="N39" s="38"/>
      <c r="O39" s="39" t="str" cm="1">
        <f t="array" aca="1" ref="O39" ca="1">_xlfn.LET(_xlpm.activo,K39,_xlpm.horaTxt,J39,_xlpm.base,TODAY(),_xlpm.fechas,_xlpm.base+_xlfn.SEQUENCE(180,,0),_xlpm.hora,IF(ISNUMBER(_xlpm.horaTxt),_xlpm.horaTxt,IFERROR(TIMEVALUE(SUBSTITUTE(_xlpm.horaTxt," hrs","")),TIME(9,0,0))),_xlpm.dias,(C39*(WEEKDAY(_xlpm.fechas,2)=1))+(D39*(WEEKDAY(_xlpm.fechas,2)=2))+(E39*(WEEKDAY(_xlpm.fechas,2)=3))+(F39*(WEEKDAY(_xlpm.fechas,2)=4))+(G39*(WEEKDAY(_xlpm.fechas,2)=5))+(H39*(WEEKDAY(_xlpm.fechas,2)=6))+(I39*(WEEKDAY(_xlpm.fechas,2)=7)),_xlpm.validas,_xlfn._xlws.FILTER(_xlpm.fechas,(_xlpm.dias&gt;0)*((_xlpm.fechas+_xlpm.hora)&gt;=(NOW()-TIME(0,3,0)))),_xlpm.prox,_xlfn.TAKE(_xlpm.validas,4),IF(_xlpm.activo&lt;&gt;"SI","Inactivo",IF(SUMPRODUCT(--C39:I39)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39" s="20" t="s">
        <v>25</v>
      </c>
      <c r="Q39" s="20"/>
    </row>
    <row r="40" spans="1:17" ht="112" customHeight="1" x14ac:dyDescent="0.35">
      <c r="A40" s="19" t="s">
        <v>1526</v>
      </c>
      <c r="B40" s="16" t="s">
        <v>26</v>
      </c>
      <c r="C40" s="30" t="b">
        <v>0</v>
      </c>
      <c r="D40" s="30" t="b">
        <v>0</v>
      </c>
      <c r="E40" s="30" t="b">
        <v>0</v>
      </c>
      <c r="F40" s="30" t="b">
        <v>0</v>
      </c>
      <c r="G40" s="30" t="b">
        <v>0</v>
      </c>
      <c r="H40" s="32" t="b">
        <v>1</v>
      </c>
      <c r="I40" s="33" t="b">
        <v>0</v>
      </c>
      <c r="J40" s="17" t="s">
        <v>75</v>
      </c>
      <c r="K40" s="17" t="s">
        <v>15</v>
      </c>
      <c r="L40" s="13" t="s">
        <v>16</v>
      </c>
      <c r="M40" s="13" t="s">
        <v>1516</v>
      </c>
      <c r="N40" s="38"/>
      <c r="O40" s="39" t="str" cm="1">
        <f t="array" aca="1" ref="O40" ca="1">_xlfn.LET(_xlpm.activo,K40,_xlpm.horaTxt,J40,_xlpm.base,TODAY(),_xlpm.fechas,_xlpm.base+_xlfn.SEQUENCE(180,,0),_xlpm.hora,IF(ISNUMBER(_xlpm.horaTxt),_xlpm.horaTxt,IFERROR(TIMEVALUE(SUBSTITUTE(_xlpm.horaTxt," hrs","")),TIME(9,0,0))),_xlpm.dias,(C40*(WEEKDAY(_xlpm.fechas,2)=1))+(D40*(WEEKDAY(_xlpm.fechas,2)=2))+(E40*(WEEKDAY(_xlpm.fechas,2)=3))+(F40*(WEEKDAY(_xlpm.fechas,2)=4))+(G40*(WEEKDAY(_xlpm.fechas,2)=5))+(H40*(WEEKDAY(_xlpm.fechas,2)=6))+(I40*(WEEKDAY(_xlpm.fechas,2)=7)),_xlpm.validas,_xlfn._xlws.FILTER(_xlpm.fechas,(_xlpm.dias&gt;0)*((_xlpm.fechas+_xlpm.hora)&gt;=(NOW()-TIME(0,3,0)))),_xlpm.prox,_xlfn.TAKE(_xlpm.validas,4),IF(_xlpm.activo&lt;&gt;"SI","Inactivo",IF(SUMPRODUCT(--C40:I40)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40" s="20" t="s">
        <v>29</v>
      </c>
      <c r="Q40" s="20"/>
    </row>
    <row r="41" spans="1:17" ht="112" customHeight="1" x14ac:dyDescent="0.35">
      <c r="A41" s="26" t="s">
        <v>1527</v>
      </c>
      <c r="B41" s="16"/>
      <c r="C41" s="30"/>
      <c r="D41" s="30"/>
      <c r="E41" s="30"/>
      <c r="F41" s="30"/>
      <c r="G41" s="30"/>
      <c r="H41" s="32"/>
      <c r="I41" s="33"/>
      <c r="J41" s="17"/>
      <c r="K41" s="17"/>
      <c r="N41" s="35"/>
      <c r="O41" s="36"/>
      <c r="P41" s="20"/>
      <c r="Q41" s="20"/>
    </row>
    <row r="42" spans="1:17" ht="112" customHeight="1" x14ac:dyDescent="0.35">
      <c r="A42" s="15" t="s">
        <v>1528</v>
      </c>
      <c r="B42" s="16" t="s">
        <v>13</v>
      </c>
      <c r="C42" s="30" t="b">
        <v>0</v>
      </c>
      <c r="D42" s="30" t="b">
        <v>0</v>
      </c>
      <c r="E42" s="30" t="b">
        <v>0</v>
      </c>
      <c r="F42" s="30" t="b">
        <v>0</v>
      </c>
      <c r="G42" s="30" t="b">
        <v>0</v>
      </c>
      <c r="H42" s="32" t="b">
        <v>0</v>
      </c>
      <c r="I42" s="33" t="b">
        <v>0</v>
      </c>
      <c r="J42" s="17"/>
      <c r="K42" s="17" t="s">
        <v>15</v>
      </c>
      <c r="L42" s="13" t="s">
        <v>16</v>
      </c>
      <c r="M42" s="13" t="s">
        <v>1516</v>
      </c>
      <c r="N42" s="38"/>
      <c r="O42" s="39" t="str" cm="1">
        <f t="array" aca="1" ref="O42" ca="1">_xlfn.LET(_xlpm.activo,K42,_xlpm.horaTxt,J42,_xlpm.base,TODAY(),_xlpm.fechas,_xlpm.base+_xlfn.SEQUENCE(180,,0),_xlpm.hora,IF(ISNUMBER(_xlpm.horaTxt),_xlpm.horaTxt,IFERROR(TIMEVALUE(SUBSTITUTE(_xlpm.horaTxt," hrs","")),TIME(9,0,0))),_xlpm.dias,(C42*(WEEKDAY(_xlpm.fechas,2)=1))+(D42*(WEEKDAY(_xlpm.fechas,2)=2))+(E42*(WEEKDAY(_xlpm.fechas,2)=3))+(F42*(WEEKDAY(_xlpm.fechas,2)=4))+(G42*(WEEKDAY(_xlpm.fechas,2)=5))+(H42*(WEEKDAY(_xlpm.fechas,2)=6))+(I42*(WEEKDAY(_xlpm.fechas,2)=7)),_xlpm.validas,_xlfn._xlws.FILTER(_xlpm.fechas,(_xlpm.dias&gt;0)*((_xlpm.fechas+_xlpm.hora)&gt;=(NOW()-TIME(0,3,0)))),_xlpm.prox,_xlfn.TAKE(_xlpm.validas,4),IF(_xlpm.activo&lt;&gt;"SI","Inactivo",IF(SUMPRODUCT(--C42:I42)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42" s="20" t="s">
        <v>17</v>
      </c>
      <c r="Q42" s="20"/>
    </row>
    <row r="43" spans="1:17" ht="112" customHeight="1" x14ac:dyDescent="0.35">
      <c r="A43" s="15" t="s">
        <v>1528</v>
      </c>
      <c r="B43" s="16" t="s">
        <v>18</v>
      </c>
      <c r="C43" s="30" t="b">
        <v>1</v>
      </c>
      <c r="D43" s="31" t="b">
        <v>0</v>
      </c>
      <c r="E43" s="30" t="b">
        <v>0</v>
      </c>
      <c r="F43" s="30" t="b">
        <v>1</v>
      </c>
      <c r="G43" s="30" t="b">
        <v>0</v>
      </c>
      <c r="H43" s="32" t="b">
        <v>0</v>
      </c>
      <c r="I43" s="33" t="b">
        <v>0</v>
      </c>
      <c r="J43" s="25" t="s">
        <v>73</v>
      </c>
      <c r="K43" s="17" t="s">
        <v>15</v>
      </c>
      <c r="L43" s="13" t="s">
        <v>16</v>
      </c>
      <c r="M43" s="13" t="s">
        <v>1516</v>
      </c>
      <c r="N43" s="38"/>
      <c r="O43" s="39" t="str" cm="1">
        <f t="array" aca="1" ref="O43" ca="1">_xlfn.LET(_xlpm.activo,K43,_xlpm.horaTxt,J43,_xlpm.base,TODAY(),_xlpm.fechas,_xlpm.base+_xlfn.SEQUENCE(180,,0),_xlpm.hora,IF(ISNUMBER(_xlpm.horaTxt),_xlpm.horaTxt,IFERROR(TIMEVALUE(SUBSTITUTE(_xlpm.horaTxt," hrs","")),TIME(9,0,0))),_xlpm.dias,(C43*(WEEKDAY(_xlpm.fechas,2)=1))+(D43*(WEEKDAY(_xlpm.fechas,2)=2))+(E43*(WEEKDAY(_xlpm.fechas,2)=3))+(F43*(WEEKDAY(_xlpm.fechas,2)=4))+(G43*(WEEKDAY(_xlpm.fechas,2)=5))+(H43*(WEEKDAY(_xlpm.fechas,2)=6))+(I43*(WEEKDAY(_xlpm.fechas,2)=7)),_xlpm.validas,_xlfn._xlws.FILTER(_xlpm.fechas,(_xlpm.dias&gt;0)*((_xlpm.fechas+_xlpm.hora)&gt;=(NOW()-TIME(0,3,0)))),_xlpm.prox,_xlfn.TAKE(_xlpm.validas,4),IF(_xlpm.activo&lt;&gt;"SI","Inactivo",IF(SUMPRODUCT(--C43:I43)=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43" s="20" t="s">
        <v>20</v>
      </c>
      <c r="Q43" s="20"/>
    </row>
    <row r="44" spans="1:17" ht="112" customHeight="1" x14ac:dyDescent="0.35">
      <c r="A44" s="15" t="s">
        <v>1528</v>
      </c>
      <c r="B44" s="16" t="s">
        <v>21</v>
      </c>
      <c r="C44" s="30" t="b">
        <v>1</v>
      </c>
      <c r="D44" s="31" t="b">
        <v>0</v>
      </c>
      <c r="E44" s="30" t="b">
        <v>0</v>
      </c>
      <c r="F44" s="30" t="b">
        <v>1</v>
      </c>
      <c r="G44" s="30" t="b">
        <v>0</v>
      </c>
      <c r="H44" s="32" t="b">
        <v>0</v>
      </c>
      <c r="I44" s="33" t="b">
        <v>0</v>
      </c>
      <c r="J44" s="25" t="s">
        <v>74</v>
      </c>
      <c r="K44" s="17" t="s">
        <v>15</v>
      </c>
      <c r="L44" s="13" t="s">
        <v>16</v>
      </c>
      <c r="M44" s="13" t="s">
        <v>1516</v>
      </c>
      <c r="N44" s="38"/>
      <c r="O44" s="39" t="str" cm="1">
        <f t="array" aca="1" ref="O44" ca="1">_xlfn.LET(_xlpm.activo,K44,_xlpm.horaTxt,J44,_xlpm.base,TODAY(),_xlpm.fechas,_xlpm.base+_xlfn.SEQUENCE(180,,0),_xlpm.hora,IF(ISNUMBER(_xlpm.horaTxt),_xlpm.horaTxt,IFERROR(TIMEVALUE(SUBSTITUTE(_xlpm.horaTxt," hrs","")),TIME(9,0,0))),_xlpm.dias,(C44*(WEEKDAY(_xlpm.fechas,2)=1))+(D44*(WEEKDAY(_xlpm.fechas,2)=2))+(E44*(WEEKDAY(_xlpm.fechas,2)=3))+(F44*(WEEKDAY(_xlpm.fechas,2)=4))+(G44*(WEEKDAY(_xlpm.fechas,2)=5))+(H44*(WEEKDAY(_xlpm.fechas,2)=6))+(I44*(WEEKDAY(_xlpm.fechas,2)=7)),_xlpm.validas,_xlfn._xlws.FILTER(_xlpm.fechas,(_xlpm.dias&gt;0)*((_xlpm.fechas+_xlpm.hora)&gt;=(NOW()-TIME(0,3,0)))),_xlpm.prox,_xlfn.TAKE(_xlpm.validas,4),IF(_xlpm.activo&lt;&gt;"SI","Inactivo",IF(SUMPRODUCT(--C44:I44)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44" s="20" t="s">
        <v>22</v>
      </c>
      <c r="Q44" s="20"/>
    </row>
    <row r="45" spans="1:17" ht="112" customHeight="1" x14ac:dyDescent="0.35">
      <c r="A45" s="15" t="s">
        <v>1528</v>
      </c>
      <c r="B45" s="16" t="s">
        <v>23</v>
      </c>
      <c r="C45" s="30" t="b">
        <v>0</v>
      </c>
      <c r="D45" s="31" t="b">
        <v>1</v>
      </c>
      <c r="E45" s="30" t="b">
        <v>0</v>
      </c>
      <c r="F45" s="30" t="b">
        <v>1</v>
      </c>
      <c r="G45" s="30" t="b">
        <v>0</v>
      </c>
      <c r="H45" s="32" t="b">
        <v>0</v>
      </c>
      <c r="I45" s="33" t="b">
        <v>0</v>
      </c>
      <c r="J45" s="25" t="s">
        <v>75</v>
      </c>
      <c r="K45" s="17" t="s">
        <v>15</v>
      </c>
      <c r="L45" s="13" t="s">
        <v>16</v>
      </c>
      <c r="M45" s="13" t="s">
        <v>1516</v>
      </c>
      <c r="N45" s="38"/>
      <c r="O45" s="39" t="str" cm="1">
        <f t="array" aca="1" ref="O45" ca="1">_xlfn.LET(_xlpm.activo,K45,_xlpm.horaTxt,J45,_xlpm.base,TODAY(),_xlpm.fechas,_xlpm.base+_xlfn.SEQUENCE(180,,0),_xlpm.hora,IF(ISNUMBER(_xlpm.horaTxt),_xlpm.horaTxt,IFERROR(TIMEVALUE(SUBSTITUTE(_xlpm.horaTxt," hrs","")),TIME(9,0,0))),_xlpm.dias,(C45*(WEEKDAY(_xlpm.fechas,2)=1))+(D45*(WEEKDAY(_xlpm.fechas,2)=2))+(E45*(WEEKDAY(_xlpm.fechas,2)=3))+(F45*(WEEKDAY(_xlpm.fechas,2)=4))+(G45*(WEEKDAY(_xlpm.fechas,2)=5))+(H45*(WEEKDAY(_xlpm.fechas,2)=6))+(I45*(WEEKDAY(_xlpm.fechas,2)=7)),_xlpm.validas,_xlfn._xlws.FILTER(_xlpm.fechas,(_xlpm.dias&gt;0)*((_xlpm.fechas+_xlpm.hora)&gt;=(NOW()-TIME(0,3,0)))),_xlpm.prox,_xlfn.TAKE(_xlpm.validas,4),IF(_xlpm.activo&lt;&gt;"SI","Inactivo",IF(SUMPRODUCT(--C45:I45)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45" s="20" t="s">
        <v>25</v>
      </c>
      <c r="Q45" s="20"/>
    </row>
    <row r="46" spans="1:17" ht="112" customHeight="1" x14ac:dyDescent="0.35">
      <c r="A46" s="15" t="s">
        <v>1528</v>
      </c>
      <c r="B46" s="16" t="s">
        <v>26</v>
      </c>
      <c r="C46" s="30" t="b">
        <v>0</v>
      </c>
      <c r="D46" s="30" t="b">
        <v>0</v>
      </c>
      <c r="E46" s="30" t="b">
        <v>0</v>
      </c>
      <c r="F46" s="30" t="b">
        <v>0</v>
      </c>
      <c r="G46" s="30" t="b">
        <v>0</v>
      </c>
      <c r="H46" s="32" t="b">
        <v>1</v>
      </c>
      <c r="I46" s="33" t="b">
        <v>0</v>
      </c>
      <c r="J46" s="17" t="s">
        <v>75</v>
      </c>
      <c r="K46" s="17" t="s">
        <v>15</v>
      </c>
      <c r="L46" s="13" t="s">
        <v>16</v>
      </c>
      <c r="M46" s="13" t="s">
        <v>1516</v>
      </c>
      <c r="N46" s="38"/>
      <c r="O46" s="39" t="str" cm="1">
        <f t="array" aca="1" ref="O46" ca="1">_xlfn.LET(_xlpm.activo,K46,_xlpm.horaTxt,J46,_xlpm.base,TODAY(),_xlpm.fechas,_xlpm.base+_xlfn.SEQUENCE(180,,0),_xlpm.hora,IF(ISNUMBER(_xlpm.horaTxt),_xlpm.horaTxt,IFERROR(TIMEVALUE(SUBSTITUTE(_xlpm.horaTxt," hrs","")),TIME(9,0,0))),_xlpm.dias,(C46*(WEEKDAY(_xlpm.fechas,2)=1))+(D46*(WEEKDAY(_xlpm.fechas,2)=2))+(E46*(WEEKDAY(_xlpm.fechas,2)=3))+(F46*(WEEKDAY(_xlpm.fechas,2)=4))+(G46*(WEEKDAY(_xlpm.fechas,2)=5))+(H46*(WEEKDAY(_xlpm.fechas,2)=6))+(I46*(WEEKDAY(_xlpm.fechas,2)=7)),_xlpm.validas,_xlfn._xlws.FILTER(_xlpm.fechas,(_xlpm.dias&gt;0)*((_xlpm.fechas+_xlpm.hora)&gt;=(NOW()-TIME(0,3,0)))),_xlpm.prox,_xlfn.TAKE(_xlpm.validas,4),IF(_xlpm.activo&lt;&gt;"SI","Inactivo",IF(SUMPRODUCT(--C46:I46)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46" s="20" t="s">
        <v>29</v>
      </c>
      <c r="Q46" s="20"/>
    </row>
    <row r="47" spans="1:17" ht="112" customHeight="1" x14ac:dyDescent="0.35">
      <c r="A47" s="26" t="s">
        <v>1529</v>
      </c>
      <c r="B47" s="16"/>
      <c r="C47" s="30"/>
      <c r="D47" s="30"/>
      <c r="E47" s="30"/>
      <c r="F47" s="30"/>
      <c r="G47" s="30"/>
      <c r="H47" s="32"/>
      <c r="I47" s="33"/>
      <c r="J47" s="17"/>
      <c r="K47" s="17"/>
      <c r="N47" s="35"/>
      <c r="O47" s="36"/>
      <c r="P47" s="20"/>
      <c r="Q47" s="20"/>
    </row>
    <row r="48" spans="1:17" ht="112" customHeight="1" x14ac:dyDescent="0.35">
      <c r="A48" s="18" t="s">
        <v>1530</v>
      </c>
      <c r="B48" s="16" t="s">
        <v>13</v>
      </c>
      <c r="C48" s="30" t="b">
        <v>0</v>
      </c>
      <c r="D48" s="30" t="b">
        <v>0</v>
      </c>
      <c r="E48" s="30" t="b">
        <v>0</v>
      </c>
      <c r="F48" s="30" t="b">
        <v>0</v>
      </c>
      <c r="G48" s="30" t="b">
        <v>0</v>
      </c>
      <c r="H48" s="32" t="b">
        <v>0</v>
      </c>
      <c r="I48" s="33" t="b">
        <v>0</v>
      </c>
      <c r="J48" s="17"/>
      <c r="K48" s="17" t="s">
        <v>15</v>
      </c>
      <c r="L48" s="13" t="s">
        <v>16</v>
      </c>
      <c r="M48" s="13" t="s">
        <v>1516</v>
      </c>
      <c r="N48" s="38"/>
      <c r="O48" s="39" t="str" cm="1">
        <f t="array" aca="1" ref="O48" ca="1">_xlfn.LET(_xlpm.activo,K48,_xlpm.horaTxt,J48,_xlpm.base,TODAY(),_xlpm.fechas,_xlpm.base+_xlfn.SEQUENCE(180,,0),_xlpm.hora,IF(ISNUMBER(_xlpm.horaTxt),_xlpm.horaTxt,IFERROR(TIMEVALUE(SUBSTITUTE(_xlpm.horaTxt," hrs","")),TIME(9,0,0))),_xlpm.dias,(C48*(WEEKDAY(_xlpm.fechas,2)=1))+(D48*(WEEKDAY(_xlpm.fechas,2)=2))+(E48*(WEEKDAY(_xlpm.fechas,2)=3))+(F48*(WEEKDAY(_xlpm.fechas,2)=4))+(G48*(WEEKDAY(_xlpm.fechas,2)=5))+(H48*(WEEKDAY(_xlpm.fechas,2)=6))+(I48*(WEEKDAY(_xlpm.fechas,2)=7)),_xlpm.validas,_xlfn._xlws.FILTER(_xlpm.fechas,(_xlpm.dias&gt;0)*((_xlpm.fechas+_xlpm.hora)&gt;=(NOW()-TIME(0,3,0)))),_xlpm.prox,_xlfn.TAKE(_xlpm.validas,4),IF(_xlpm.activo&lt;&gt;"SI","Inactivo",IF(SUMPRODUCT(--C48:I48)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48" s="20" t="s">
        <v>17</v>
      </c>
      <c r="Q48" s="20"/>
    </row>
    <row r="49" spans="1:17" ht="112" customHeight="1" x14ac:dyDescent="0.35">
      <c r="A49" s="18" t="s">
        <v>1530</v>
      </c>
      <c r="B49" s="16" t="s">
        <v>18</v>
      </c>
      <c r="C49" s="30" t="b">
        <v>1</v>
      </c>
      <c r="D49" s="31" t="b">
        <v>0</v>
      </c>
      <c r="E49" s="30" t="b">
        <v>0</v>
      </c>
      <c r="F49" s="30" t="b">
        <v>1</v>
      </c>
      <c r="G49" s="30" t="b">
        <v>0</v>
      </c>
      <c r="H49" s="32" t="b">
        <v>0</v>
      </c>
      <c r="I49" s="33" t="b">
        <v>0</v>
      </c>
      <c r="J49" s="25" t="s">
        <v>73</v>
      </c>
      <c r="K49" s="17" t="s">
        <v>15</v>
      </c>
      <c r="L49" s="13" t="s">
        <v>16</v>
      </c>
      <c r="M49" s="13" t="s">
        <v>1516</v>
      </c>
      <c r="N49" s="38"/>
      <c r="O49" s="39" t="str" cm="1">
        <f t="array" aca="1" ref="O49" ca="1">_xlfn.LET(_xlpm.activo,K49,_xlpm.horaTxt,J49,_xlpm.base,TODAY(),_xlpm.fechas,_xlpm.base+_xlfn.SEQUENCE(180,,0),_xlpm.hora,IF(ISNUMBER(_xlpm.horaTxt),_xlpm.horaTxt,IFERROR(TIMEVALUE(SUBSTITUTE(_xlpm.horaTxt," hrs","")),TIME(9,0,0))),_xlpm.dias,(C49*(WEEKDAY(_xlpm.fechas,2)=1))+(D49*(WEEKDAY(_xlpm.fechas,2)=2))+(E49*(WEEKDAY(_xlpm.fechas,2)=3))+(F49*(WEEKDAY(_xlpm.fechas,2)=4))+(G49*(WEEKDAY(_xlpm.fechas,2)=5))+(H49*(WEEKDAY(_xlpm.fechas,2)=6))+(I49*(WEEKDAY(_xlpm.fechas,2)=7)),_xlpm.validas,_xlfn._xlws.FILTER(_xlpm.fechas,(_xlpm.dias&gt;0)*((_xlpm.fechas+_xlpm.hora)&gt;=(NOW()-TIME(0,3,0)))),_xlpm.prox,_xlfn.TAKE(_xlpm.validas,4),IF(_xlpm.activo&lt;&gt;"SI","Inactivo",IF(SUMPRODUCT(--C49:I49)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49" s="20" t="s">
        <v>20</v>
      </c>
      <c r="Q49" s="20"/>
    </row>
    <row r="50" spans="1:17" ht="112" customHeight="1" x14ac:dyDescent="0.35">
      <c r="A50" s="18" t="s">
        <v>1530</v>
      </c>
      <c r="B50" s="16" t="s">
        <v>21</v>
      </c>
      <c r="C50" s="30" t="b">
        <v>1</v>
      </c>
      <c r="D50" s="31" t="b">
        <v>0</v>
      </c>
      <c r="E50" s="30" t="b">
        <v>0</v>
      </c>
      <c r="F50" s="30" t="b">
        <v>1</v>
      </c>
      <c r="G50" s="30" t="b">
        <v>0</v>
      </c>
      <c r="H50" s="32" t="b">
        <v>0</v>
      </c>
      <c r="I50" s="33" t="b">
        <v>0</v>
      </c>
      <c r="J50" s="25" t="s">
        <v>74</v>
      </c>
      <c r="K50" s="17" t="s">
        <v>15</v>
      </c>
      <c r="L50" s="13" t="s">
        <v>16</v>
      </c>
      <c r="M50" s="13" t="s">
        <v>1516</v>
      </c>
      <c r="N50" s="38"/>
      <c r="O50" s="39" t="str" cm="1">
        <f t="array" aca="1" ref="O50" ca="1">_xlfn.LET(_xlpm.activo,K50,_xlpm.horaTxt,J50,_xlpm.base,TODAY(),_xlpm.fechas,_xlpm.base+_xlfn.SEQUENCE(180,,0),_xlpm.hora,IF(ISNUMBER(_xlpm.horaTxt),_xlpm.horaTxt,IFERROR(TIMEVALUE(SUBSTITUTE(_xlpm.horaTxt," hrs","")),TIME(9,0,0))),_xlpm.dias,(C50*(WEEKDAY(_xlpm.fechas,2)=1))+(D50*(WEEKDAY(_xlpm.fechas,2)=2))+(E50*(WEEKDAY(_xlpm.fechas,2)=3))+(F50*(WEEKDAY(_xlpm.fechas,2)=4))+(G50*(WEEKDAY(_xlpm.fechas,2)=5))+(H50*(WEEKDAY(_xlpm.fechas,2)=6))+(I50*(WEEKDAY(_xlpm.fechas,2)=7)),_xlpm.validas,_xlfn._xlws.FILTER(_xlpm.fechas,(_xlpm.dias&gt;0)*((_xlpm.fechas+_xlpm.hora)&gt;=(NOW()-TIME(0,3,0)))),_xlpm.prox,_xlfn.TAKE(_xlpm.validas,4),IF(_xlpm.activo&lt;&gt;"SI","Inactivo",IF(SUMPRODUCT(--C50:I50)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50" s="20" t="s">
        <v>22</v>
      </c>
      <c r="Q50" s="20"/>
    </row>
    <row r="51" spans="1:17" ht="112" customHeight="1" x14ac:dyDescent="0.35">
      <c r="A51" s="18" t="s">
        <v>1530</v>
      </c>
      <c r="B51" s="16" t="s">
        <v>23</v>
      </c>
      <c r="C51" s="30" t="b">
        <v>0</v>
      </c>
      <c r="D51" s="31" t="b">
        <v>1</v>
      </c>
      <c r="E51" s="30" t="b">
        <v>0</v>
      </c>
      <c r="F51" s="30" t="b">
        <v>1</v>
      </c>
      <c r="G51" s="30" t="b">
        <v>0</v>
      </c>
      <c r="H51" s="32" t="b">
        <v>0</v>
      </c>
      <c r="I51" s="33" t="b">
        <v>0</v>
      </c>
      <c r="J51" s="25" t="s">
        <v>75</v>
      </c>
      <c r="K51" s="17" t="s">
        <v>15</v>
      </c>
      <c r="L51" s="13" t="s">
        <v>16</v>
      </c>
      <c r="M51" s="13" t="s">
        <v>1516</v>
      </c>
      <c r="N51" s="38"/>
      <c r="O51" s="39" t="str" cm="1">
        <f t="array" aca="1" ref="O51" ca="1">_xlfn.LET(_xlpm.activo,K51,_xlpm.horaTxt,J51,_xlpm.base,TODAY(),_xlpm.fechas,_xlpm.base+_xlfn.SEQUENCE(180,,0),_xlpm.hora,IF(ISNUMBER(_xlpm.horaTxt),_xlpm.horaTxt,IFERROR(TIMEVALUE(SUBSTITUTE(_xlpm.horaTxt," hrs","")),TIME(9,0,0))),_xlpm.dias,(C51*(WEEKDAY(_xlpm.fechas,2)=1))+(D51*(WEEKDAY(_xlpm.fechas,2)=2))+(E51*(WEEKDAY(_xlpm.fechas,2)=3))+(F51*(WEEKDAY(_xlpm.fechas,2)=4))+(G51*(WEEKDAY(_xlpm.fechas,2)=5))+(H51*(WEEKDAY(_xlpm.fechas,2)=6))+(I51*(WEEKDAY(_xlpm.fechas,2)=7)),_xlpm.validas,_xlfn._xlws.FILTER(_xlpm.fechas,(_xlpm.dias&gt;0)*((_xlpm.fechas+_xlpm.hora)&gt;=(NOW()-TIME(0,3,0)))),_xlpm.prox,_xlfn.TAKE(_xlpm.validas,4),IF(_xlpm.activo&lt;&gt;"SI","Inactivo",IF(SUMPRODUCT(--C51:I51)=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51" s="20" t="s">
        <v>25</v>
      </c>
      <c r="Q51" s="20"/>
    </row>
    <row r="52" spans="1:17" ht="112" customHeight="1" x14ac:dyDescent="0.35">
      <c r="A52" s="18" t="s">
        <v>1530</v>
      </c>
      <c r="B52" s="16" t="s">
        <v>26</v>
      </c>
      <c r="C52" s="30" t="b">
        <v>0</v>
      </c>
      <c r="D52" s="30" t="b">
        <v>0</v>
      </c>
      <c r="E52" s="30" t="b">
        <v>0</v>
      </c>
      <c r="F52" s="30" t="b">
        <v>0</v>
      </c>
      <c r="G52" s="30" t="b">
        <v>0</v>
      </c>
      <c r="H52" s="32" t="b">
        <v>1</v>
      </c>
      <c r="I52" s="33" t="b">
        <v>0</v>
      </c>
      <c r="J52" s="17" t="s">
        <v>75</v>
      </c>
      <c r="K52" s="17" t="s">
        <v>15</v>
      </c>
      <c r="L52" s="13" t="s">
        <v>16</v>
      </c>
      <c r="M52" s="13" t="s">
        <v>1516</v>
      </c>
      <c r="N52" s="38"/>
      <c r="O52" s="39" t="str" cm="1">
        <f t="array" aca="1" ref="O52" ca="1">_xlfn.LET(_xlpm.activo,K52,_xlpm.horaTxt,J52,_xlpm.base,TODAY(),_xlpm.fechas,_xlpm.base+_xlfn.SEQUENCE(180,,0),_xlpm.hora,IF(ISNUMBER(_xlpm.horaTxt),_xlpm.horaTxt,IFERROR(TIMEVALUE(SUBSTITUTE(_xlpm.horaTxt," hrs","")),TIME(9,0,0))),_xlpm.dias,(C52*(WEEKDAY(_xlpm.fechas,2)=1))+(D52*(WEEKDAY(_xlpm.fechas,2)=2))+(E52*(WEEKDAY(_xlpm.fechas,2)=3))+(F52*(WEEKDAY(_xlpm.fechas,2)=4))+(G52*(WEEKDAY(_xlpm.fechas,2)=5))+(H52*(WEEKDAY(_xlpm.fechas,2)=6))+(I52*(WEEKDAY(_xlpm.fechas,2)=7)),_xlpm.validas,_xlfn._xlws.FILTER(_xlpm.fechas,(_xlpm.dias&gt;0)*((_xlpm.fechas+_xlpm.hora)&gt;=(NOW()-TIME(0,3,0)))),_xlpm.prox,_xlfn.TAKE(_xlpm.validas,4),IF(_xlpm.activo&lt;&gt;"SI","Inactivo",IF(SUMPRODUCT(--C52:I52)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52" s="20" t="s">
        <v>29</v>
      </c>
      <c r="Q52" s="20"/>
    </row>
    <row r="53" spans="1:17" ht="112" customHeight="1" x14ac:dyDescent="0.35">
      <c r="A53" s="26" t="s">
        <v>1531</v>
      </c>
      <c r="B53" s="16"/>
      <c r="C53" s="30"/>
      <c r="D53" s="30"/>
      <c r="E53" s="30"/>
      <c r="F53" s="30"/>
      <c r="G53" s="30"/>
      <c r="H53" s="32"/>
      <c r="I53" s="33"/>
      <c r="J53" s="17"/>
      <c r="K53" s="17"/>
      <c r="N53" s="35"/>
      <c r="O53" s="36"/>
      <c r="P53" s="20"/>
      <c r="Q53" s="20"/>
    </row>
    <row r="54" spans="1:17" ht="112" customHeight="1" x14ac:dyDescent="0.35">
      <c r="A54" s="19" t="s">
        <v>1532</v>
      </c>
      <c r="B54" s="16" t="s">
        <v>13</v>
      </c>
      <c r="C54" s="30" t="b">
        <v>0</v>
      </c>
      <c r="D54" s="30" t="b">
        <v>0</v>
      </c>
      <c r="E54" s="30" t="b">
        <v>0</v>
      </c>
      <c r="F54" s="30" t="b">
        <v>0</v>
      </c>
      <c r="G54" s="30" t="b">
        <v>0</v>
      </c>
      <c r="H54" s="32" t="b">
        <v>0</v>
      </c>
      <c r="I54" s="33" t="b">
        <v>0</v>
      </c>
      <c r="J54" s="17"/>
      <c r="K54" s="17" t="s">
        <v>15</v>
      </c>
      <c r="L54" s="13" t="s">
        <v>16</v>
      </c>
      <c r="M54" s="13" t="s">
        <v>1516</v>
      </c>
      <c r="N54" s="38"/>
      <c r="O54" s="39" t="str" cm="1">
        <f t="array" aca="1" ref="O54" ca="1">_xlfn.LET(_xlpm.activo,K54,_xlpm.horaTxt,J54,_xlpm.base,TODAY(),_xlpm.fechas,_xlpm.base+_xlfn.SEQUENCE(180,,0),_xlpm.hora,IF(ISNUMBER(_xlpm.horaTxt),_xlpm.horaTxt,IFERROR(TIMEVALUE(SUBSTITUTE(_xlpm.horaTxt," hrs","")),TIME(9,0,0))),_xlpm.dias,(C54*(WEEKDAY(_xlpm.fechas,2)=1))+(D54*(WEEKDAY(_xlpm.fechas,2)=2))+(E54*(WEEKDAY(_xlpm.fechas,2)=3))+(F54*(WEEKDAY(_xlpm.fechas,2)=4))+(G54*(WEEKDAY(_xlpm.fechas,2)=5))+(H54*(WEEKDAY(_xlpm.fechas,2)=6))+(I54*(WEEKDAY(_xlpm.fechas,2)=7)),_xlpm.validas,_xlfn._xlws.FILTER(_xlpm.fechas,(_xlpm.dias&gt;0)*((_xlpm.fechas+_xlpm.hora)&gt;=(NOW()-TIME(0,3,0)))),_xlpm.prox,_xlfn.TAKE(_xlpm.validas,4),IF(_xlpm.activo&lt;&gt;"SI","Inactivo",IF(SUMPRODUCT(--C54:I54)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54" s="20" t="s">
        <v>17</v>
      </c>
      <c r="Q54" s="20"/>
    </row>
    <row r="55" spans="1:17" ht="112" customHeight="1" x14ac:dyDescent="0.35">
      <c r="A55" s="19" t="s">
        <v>1532</v>
      </c>
      <c r="B55" s="16" t="s">
        <v>18</v>
      </c>
      <c r="C55" s="30" t="b">
        <v>1</v>
      </c>
      <c r="D55" s="31" t="b">
        <v>0</v>
      </c>
      <c r="E55" s="30" t="b">
        <v>0</v>
      </c>
      <c r="F55" s="30" t="b">
        <v>1</v>
      </c>
      <c r="G55" s="30" t="b">
        <v>0</v>
      </c>
      <c r="H55" s="32" t="b">
        <v>0</v>
      </c>
      <c r="I55" s="33" t="b">
        <v>0</v>
      </c>
      <c r="J55" s="25" t="s">
        <v>73</v>
      </c>
      <c r="K55" s="17" t="s">
        <v>15</v>
      </c>
      <c r="L55" s="13" t="s">
        <v>16</v>
      </c>
      <c r="M55" s="13" t="s">
        <v>1516</v>
      </c>
      <c r="N55" s="38"/>
      <c r="O55" s="39" t="str" cm="1">
        <f t="array" aca="1" ref="O55" ca="1">_xlfn.LET(_xlpm.activo,K55,_xlpm.horaTxt,J55,_xlpm.base,TODAY(),_xlpm.fechas,_xlpm.base+_xlfn.SEQUENCE(180,,0),_xlpm.hora,IF(ISNUMBER(_xlpm.horaTxt),_xlpm.horaTxt,IFERROR(TIMEVALUE(SUBSTITUTE(_xlpm.horaTxt," hrs","")),TIME(9,0,0))),_xlpm.dias,(C55*(WEEKDAY(_xlpm.fechas,2)=1))+(D55*(WEEKDAY(_xlpm.fechas,2)=2))+(E55*(WEEKDAY(_xlpm.fechas,2)=3))+(F55*(WEEKDAY(_xlpm.fechas,2)=4))+(G55*(WEEKDAY(_xlpm.fechas,2)=5))+(H55*(WEEKDAY(_xlpm.fechas,2)=6))+(I55*(WEEKDAY(_xlpm.fechas,2)=7)),_xlpm.validas,_xlfn._xlws.FILTER(_xlpm.fechas,(_xlpm.dias&gt;0)*((_xlpm.fechas+_xlpm.hora)&gt;=(NOW()-TIME(0,3,0)))),_xlpm.prox,_xlfn.TAKE(_xlpm.validas,4),IF(_xlpm.activo&lt;&gt;"SI","Inactivo",IF(SUMPRODUCT(--C55:I55)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55" s="20" t="s">
        <v>20</v>
      </c>
      <c r="Q55" s="20"/>
    </row>
    <row r="56" spans="1:17" ht="112" customHeight="1" x14ac:dyDescent="0.35">
      <c r="A56" s="19" t="s">
        <v>1532</v>
      </c>
      <c r="B56" s="16" t="s">
        <v>21</v>
      </c>
      <c r="C56" s="30" t="b">
        <v>1</v>
      </c>
      <c r="D56" s="31" t="b">
        <v>0</v>
      </c>
      <c r="E56" s="30" t="b">
        <v>0</v>
      </c>
      <c r="F56" s="30" t="b">
        <v>1</v>
      </c>
      <c r="G56" s="30" t="b">
        <v>0</v>
      </c>
      <c r="H56" s="32" t="b">
        <v>0</v>
      </c>
      <c r="I56" s="33" t="b">
        <v>0</v>
      </c>
      <c r="J56" s="25" t="s">
        <v>74</v>
      </c>
      <c r="K56" s="17" t="s">
        <v>15</v>
      </c>
      <c r="L56" s="13" t="s">
        <v>16</v>
      </c>
      <c r="M56" s="13" t="s">
        <v>1516</v>
      </c>
      <c r="N56" s="38"/>
      <c r="O56" s="39" t="str" cm="1">
        <f t="array" aca="1" ref="O56" ca="1">_xlfn.LET(_xlpm.activo,K56,_xlpm.horaTxt,J56,_xlpm.base,TODAY(),_xlpm.fechas,_xlpm.base+_xlfn.SEQUENCE(180,,0),_xlpm.hora,IF(ISNUMBER(_xlpm.horaTxt),_xlpm.horaTxt,IFERROR(TIMEVALUE(SUBSTITUTE(_xlpm.horaTxt," hrs","")),TIME(9,0,0))),_xlpm.dias,(C56*(WEEKDAY(_xlpm.fechas,2)=1))+(D56*(WEEKDAY(_xlpm.fechas,2)=2))+(E56*(WEEKDAY(_xlpm.fechas,2)=3))+(F56*(WEEKDAY(_xlpm.fechas,2)=4))+(G56*(WEEKDAY(_xlpm.fechas,2)=5))+(H56*(WEEKDAY(_xlpm.fechas,2)=6))+(I56*(WEEKDAY(_xlpm.fechas,2)=7)),_xlpm.validas,_xlfn._xlws.FILTER(_xlpm.fechas,(_xlpm.dias&gt;0)*((_xlpm.fechas+_xlpm.hora)&gt;=(NOW()-TIME(0,3,0)))),_xlpm.prox,_xlfn.TAKE(_xlpm.validas,4),IF(_xlpm.activo&lt;&gt;"SI","Inactivo",IF(SUMPRODUCT(--C56:I56)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56" s="20" t="s">
        <v>22</v>
      </c>
      <c r="Q56" s="20"/>
    </row>
    <row r="57" spans="1:17" ht="112" customHeight="1" x14ac:dyDescent="0.35">
      <c r="A57" s="19" t="s">
        <v>1532</v>
      </c>
      <c r="B57" s="16" t="s">
        <v>23</v>
      </c>
      <c r="C57" s="30" t="b">
        <v>0</v>
      </c>
      <c r="D57" s="31" t="b">
        <v>1</v>
      </c>
      <c r="E57" s="30" t="b">
        <v>0</v>
      </c>
      <c r="F57" s="30" t="b">
        <v>1</v>
      </c>
      <c r="G57" s="30" t="b">
        <v>0</v>
      </c>
      <c r="H57" s="32" t="b">
        <v>0</v>
      </c>
      <c r="I57" s="33" t="b">
        <v>0</v>
      </c>
      <c r="J57" s="25" t="s">
        <v>75</v>
      </c>
      <c r="K57" s="17" t="s">
        <v>15</v>
      </c>
      <c r="L57" s="13" t="s">
        <v>16</v>
      </c>
      <c r="M57" s="13" t="s">
        <v>1516</v>
      </c>
      <c r="N57" s="38"/>
      <c r="O57" s="39" t="str" cm="1">
        <f t="array" aca="1" ref="O57" ca="1">_xlfn.LET(_xlpm.activo,K57,_xlpm.horaTxt,J57,_xlpm.base,TODAY(),_xlpm.fechas,_xlpm.base+_xlfn.SEQUENCE(180,,0),_xlpm.hora,IF(ISNUMBER(_xlpm.horaTxt),_xlpm.horaTxt,IFERROR(TIMEVALUE(SUBSTITUTE(_xlpm.horaTxt," hrs","")),TIME(9,0,0))),_xlpm.dias,(C57*(WEEKDAY(_xlpm.fechas,2)=1))+(D57*(WEEKDAY(_xlpm.fechas,2)=2))+(E57*(WEEKDAY(_xlpm.fechas,2)=3))+(F57*(WEEKDAY(_xlpm.fechas,2)=4))+(G57*(WEEKDAY(_xlpm.fechas,2)=5))+(H57*(WEEKDAY(_xlpm.fechas,2)=6))+(I57*(WEEKDAY(_xlpm.fechas,2)=7)),_xlpm.validas,_xlfn._xlws.FILTER(_xlpm.fechas,(_xlpm.dias&gt;0)*((_xlpm.fechas+_xlpm.hora)&gt;=(NOW()-TIME(0,3,0)))),_xlpm.prox,_xlfn.TAKE(_xlpm.validas,4),IF(_xlpm.activo&lt;&gt;"SI","Inactivo",IF(SUMPRODUCT(--C57:I57)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57" s="20" t="s">
        <v>25</v>
      </c>
      <c r="Q57" s="20"/>
    </row>
    <row r="58" spans="1:17" ht="112" customHeight="1" x14ac:dyDescent="0.35">
      <c r="A58" s="19" t="s">
        <v>1532</v>
      </c>
      <c r="B58" s="16" t="s">
        <v>26</v>
      </c>
      <c r="C58" s="30" t="b">
        <v>0</v>
      </c>
      <c r="D58" s="30" t="b">
        <v>0</v>
      </c>
      <c r="E58" s="30" t="b">
        <v>0</v>
      </c>
      <c r="F58" s="30" t="b">
        <v>0</v>
      </c>
      <c r="G58" s="30" t="b">
        <v>0</v>
      </c>
      <c r="H58" s="32" t="b">
        <v>1</v>
      </c>
      <c r="I58" s="33" t="b">
        <v>0</v>
      </c>
      <c r="J58" s="17" t="s">
        <v>75</v>
      </c>
      <c r="K58" s="17" t="s">
        <v>15</v>
      </c>
      <c r="L58" s="13" t="s">
        <v>16</v>
      </c>
      <c r="M58" s="13" t="s">
        <v>1516</v>
      </c>
      <c r="N58" s="38"/>
      <c r="O58" s="39" t="str" cm="1">
        <f t="array" aca="1" ref="O58" ca="1">_xlfn.LET(_xlpm.activo,K58,_xlpm.horaTxt,J58,_xlpm.base,TODAY(),_xlpm.fechas,_xlpm.base+_xlfn.SEQUENCE(180,,0),_xlpm.hora,IF(ISNUMBER(_xlpm.horaTxt),_xlpm.horaTxt,IFERROR(TIMEVALUE(SUBSTITUTE(_xlpm.horaTxt," hrs","")),TIME(9,0,0))),_xlpm.dias,(C58*(WEEKDAY(_xlpm.fechas,2)=1))+(D58*(WEEKDAY(_xlpm.fechas,2)=2))+(E58*(WEEKDAY(_xlpm.fechas,2)=3))+(F58*(WEEKDAY(_xlpm.fechas,2)=4))+(G58*(WEEKDAY(_xlpm.fechas,2)=5))+(H58*(WEEKDAY(_xlpm.fechas,2)=6))+(I58*(WEEKDAY(_xlpm.fechas,2)=7)),_xlpm.validas,_xlfn._xlws.FILTER(_xlpm.fechas,(_xlpm.dias&gt;0)*((_xlpm.fechas+_xlpm.hora)&gt;=(NOW()-TIME(0,3,0)))),_xlpm.prox,_xlfn.TAKE(_xlpm.validas,4),IF(_xlpm.activo&lt;&gt;"SI","Inactivo",IF(SUMPRODUCT(--C58:I58)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58" s="20" t="s">
        <v>29</v>
      </c>
      <c r="Q58" s="20"/>
    </row>
    <row r="59" spans="1:17" ht="112" customHeight="1" x14ac:dyDescent="0.35">
      <c r="A59" s="26" t="s">
        <v>1533</v>
      </c>
      <c r="B59" s="16"/>
      <c r="C59" s="30"/>
      <c r="D59" s="30"/>
      <c r="E59" s="30"/>
      <c r="F59" s="30"/>
      <c r="G59" s="30"/>
      <c r="H59" s="32"/>
      <c r="I59" s="33"/>
      <c r="J59" s="17"/>
      <c r="K59" s="17"/>
      <c r="N59" s="35"/>
      <c r="O59" s="36"/>
      <c r="P59" s="20"/>
      <c r="Q59" s="20"/>
    </row>
    <row r="60" spans="1:17" ht="112" customHeight="1" x14ac:dyDescent="0.35">
      <c r="A60" s="15" t="s">
        <v>1534</v>
      </c>
      <c r="B60" s="16" t="s">
        <v>13</v>
      </c>
      <c r="C60" s="30" t="b">
        <v>0</v>
      </c>
      <c r="D60" s="30" t="b">
        <v>0</v>
      </c>
      <c r="E60" s="30" t="b">
        <v>0</v>
      </c>
      <c r="F60" s="30" t="b">
        <v>0</v>
      </c>
      <c r="G60" s="30" t="b">
        <v>0</v>
      </c>
      <c r="H60" s="32" t="b">
        <v>0</v>
      </c>
      <c r="I60" s="33" t="b">
        <v>0</v>
      </c>
      <c r="J60" s="17"/>
      <c r="K60" s="17" t="s">
        <v>15</v>
      </c>
      <c r="L60" s="13" t="s">
        <v>16</v>
      </c>
      <c r="M60" s="13" t="s">
        <v>1516</v>
      </c>
      <c r="N60" s="38"/>
      <c r="O60" s="39" t="str" cm="1">
        <f t="array" aca="1" ref="O60" ca="1">_xlfn.LET(_xlpm.activo,K60,_xlpm.horaTxt,J60,_xlpm.base,TODAY(),_xlpm.fechas,_xlpm.base+_xlfn.SEQUENCE(180,,0),_xlpm.hora,IF(ISNUMBER(_xlpm.horaTxt),_xlpm.horaTxt,IFERROR(TIMEVALUE(SUBSTITUTE(_xlpm.horaTxt," hrs","")),TIME(9,0,0))),_xlpm.dias,(C60*(WEEKDAY(_xlpm.fechas,2)=1))+(D60*(WEEKDAY(_xlpm.fechas,2)=2))+(E60*(WEEKDAY(_xlpm.fechas,2)=3))+(F60*(WEEKDAY(_xlpm.fechas,2)=4))+(G60*(WEEKDAY(_xlpm.fechas,2)=5))+(H60*(WEEKDAY(_xlpm.fechas,2)=6))+(I60*(WEEKDAY(_xlpm.fechas,2)=7)),_xlpm.validas,_xlfn._xlws.FILTER(_xlpm.fechas,(_xlpm.dias&gt;0)*((_xlpm.fechas+_xlpm.hora)&gt;=(NOW()-TIME(0,3,0)))),_xlpm.prox,_xlfn.TAKE(_xlpm.validas,4),IF(_xlpm.activo&lt;&gt;"SI","Inactivo",IF(SUMPRODUCT(--C60:I60)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60" s="20" t="s">
        <v>17</v>
      </c>
      <c r="Q60" s="20"/>
    </row>
    <row r="61" spans="1:17" ht="112" customHeight="1" x14ac:dyDescent="0.35">
      <c r="A61" s="15" t="s">
        <v>1534</v>
      </c>
      <c r="B61" s="16" t="s">
        <v>18</v>
      </c>
      <c r="C61" s="30" t="b">
        <v>1</v>
      </c>
      <c r="D61" s="31" t="b">
        <v>0</v>
      </c>
      <c r="E61" s="30" t="b">
        <v>0</v>
      </c>
      <c r="F61" s="30" t="b">
        <v>1</v>
      </c>
      <c r="G61" s="30" t="b">
        <v>0</v>
      </c>
      <c r="H61" s="32" t="b">
        <v>0</v>
      </c>
      <c r="I61" s="33" t="b">
        <v>0</v>
      </c>
      <c r="J61" s="25" t="s">
        <v>73</v>
      </c>
      <c r="K61" s="17" t="s">
        <v>15</v>
      </c>
      <c r="L61" s="13" t="s">
        <v>16</v>
      </c>
      <c r="M61" s="13" t="s">
        <v>1516</v>
      </c>
      <c r="N61" s="38"/>
      <c r="O61" s="39" t="str" cm="1">
        <f t="array" aca="1" ref="O61" ca="1">_xlfn.LET(_xlpm.activo,K61,_xlpm.horaTxt,J61,_xlpm.base,TODAY(),_xlpm.fechas,_xlpm.base+_xlfn.SEQUENCE(180,,0),_xlpm.hora,IF(ISNUMBER(_xlpm.horaTxt),_xlpm.horaTxt,IFERROR(TIMEVALUE(SUBSTITUTE(_xlpm.horaTxt," hrs","")),TIME(9,0,0))),_xlpm.dias,(C61*(WEEKDAY(_xlpm.fechas,2)=1))+(D61*(WEEKDAY(_xlpm.fechas,2)=2))+(E61*(WEEKDAY(_xlpm.fechas,2)=3))+(F61*(WEEKDAY(_xlpm.fechas,2)=4))+(G61*(WEEKDAY(_xlpm.fechas,2)=5))+(H61*(WEEKDAY(_xlpm.fechas,2)=6))+(I61*(WEEKDAY(_xlpm.fechas,2)=7)),_xlpm.validas,_xlfn._xlws.FILTER(_xlpm.fechas,(_xlpm.dias&gt;0)*((_xlpm.fechas+_xlpm.hora)&gt;=(NOW()-TIME(0,3,0)))),_xlpm.prox,_xlfn.TAKE(_xlpm.validas,4),IF(_xlpm.activo&lt;&gt;"SI","Inactivo",IF(SUMPRODUCT(--C61:I61)=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61" s="20" t="s">
        <v>20</v>
      </c>
      <c r="Q61" s="20"/>
    </row>
    <row r="62" spans="1:17" ht="112" customHeight="1" x14ac:dyDescent="0.35">
      <c r="A62" s="15" t="s">
        <v>1534</v>
      </c>
      <c r="B62" s="16" t="s">
        <v>21</v>
      </c>
      <c r="C62" s="30" t="b">
        <v>1</v>
      </c>
      <c r="D62" s="31" t="b">
        <v>0</v>
      </c>
      <c r="E62" s="30" t="b">
        <v>0</v>
      </c>
      <c r="F62" s="30" t="b">
        <v>1</v>
      </c>
      <c r="G62" s="30" t="b">
        <v>0</v>
      </c>
      <c r="H62" s="32" t="b">
        <v>0</v>
      </c>
      <c r="I62" s="33" t="b">
        <v>0</v>
      </c>
      <c r="J62" s="25" t="s">
        <v>74</v>
      </c>
      <c r="K62" s="17" t="s">
        <v>15</v>
      </c>
      <c r="L62" s="13" t="s">
        <v>16</v>
      </c>
      <c r="M62" s="13" t="s">
        <v>1516</v>
      </c>
      <c r="N62" s="38"/>
      <c r="O62" s="39" t="str" cm="1">
        <f t="array" aca="1" ref="O62" ca="1">_xlfn.LET(_xlpm.activo,K62,_xlpm.horaTxt,J62,_xlpm.base,TODAY(),_xlpm.fechas,_xlpm.base+_xlfn.SEQUENCE(180,,0),_xlpm.hora,IF(ISNUMBER(_xlpm.horaTxt),_xlpm.horaTxt,IFERROR(TIMEVALUE(SUBSTITUTE(_xlpm.horaTxt," hrs","")),TIME(9,0,0))),_xlpm.dias,(C62*(WEEKDAY(_xlpm.fechas,2)=1))+(D62*(WEEKDAY(_xlpm.fechas,2)=2))+(E62*(WEEKDAY(_xlpm.fechas,2)=3))+(F62*(WEEKDAY(_xlpm.fechas,2)=4))+(G62*(WEEKDAY(_xlpm.fechas,2)=5))+(H62*(WEEKDAY(_xlpm.fechas,2)=6))+(I62*(WEEKDAY(_xlpm.fechas,2)=7)),_xlpm.validas,_xlfn._xlws.FILTER(_xlpm.fechas,(_xlpm.dias&gt;0)*((_xlpm.fechas+_xlpm.hora)&gt;=(NOW()-TIME(0,3,0)))),_xlpm.prox,_xlfn.TAKE(_xlpm.validas,4),IF(_xlpm.activo&lt;&gt;"SI","Inactivo",IF(SUMPRODUCT(--C62:I62)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62" s="20" t="s">
        <v>22</v>
      </c>
      <c r="Q62" s="20"/>
    </row>
    <row r="63" spans="1:17" ht="112" customHeight="1" x14ac:dyDescent="0.35">
      <c r="A63" s="15" t="s">
        <v>1534</v>
      </c>
      <c r="B63" s="16" t="s">
        <v>23</v>
      </c>
      <c r="C63" s="30" t="b">
        <v>0</v>
      </c>
      <c r="D63" s="31" t="b">
        <v>1</v>
      </c>
      <c r="E63" s="30" t="b">
        <v>0</v>
      </c>
      <c r="F63" s="30" t="b">
        <v>1</v>
      </c>
      <c r="G63" s="30" t="b">
        <v>0</v>
      </c>
      <c r="H63" s="32" t="b">
        <v>0</v>
      </c>
      <c r="I63" s="33" t="b">
        <v>0</v>
      </c>
      <c r="J63" s="25" t="s">
        <v>75</v>
      </c>
      <c r="K63" s="17" t="s">
        <v>15</v>
      </c>
      <c r="L63" s="13" t="s">
        <v>16</v>
      </c>
      <c r="M63" s="13" t="s">
        <v>1516</v>
      </c>
      <c r="N63" s="38"/>
      <c r="O63" s="39" t="str" cm="1">
        <f t="array" aca="1" ref="O63" ca="1">_xlfn.LET(_xlpm.activo,K63,_xlpm.horaTxt,J63,_xlpm.base,TODAY(),_xlpm.fechas,_xlpm.base+_xlfn.SEQUENCE(180,,0),_xlpm.hora,IF(ISNUMBER(_xlpm.horaTxt),_xlpm.horaTxt,IFERROR(TIMEVALUE(SUBSTITUTE(_xlpm.horaTxt," hrs","")),TIME(9,0,0))),_xlpm.dias,(C63*(WEEKDAY(_xlpm.fechas,2)=1))+(D63*(WEEKDAY(_xlpm.fechas,2)=2))+(E63*(WEEKDAY(_xlpm.fechas,2)=3))+(F63*(WEEKDAY(_xlpm.fechas,2)=4))+(G63*(WEEKDAY(_xlpm.fechas,2)=5))+(H63*(WEEKDAY(_xlpm.fechas,2)=6))+(I63*(WEEKDAY(_xlpm.fechas,2)=7)),_xlpm.validas,_xlfn._xlws.FILTER(_xlpm.fechas,(_xlpm.dias&gt;0)*((_xlpm.fechas+_xlpm.hora)&gt;=(NOW()-TIME(0,3,0)))),_xlpm.prox,_xlfn.TAKE(_xlpm.validas,4),IF(_xlpm.activo&lt;&gt;"SI","Inactivo",IF(SUMPRODUCT(--C63:I63)=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63" s="20" t="s">
        <v>25</v>
      </c>
      <c r="Q63" s="20"/>
    </row>
    <row r="64" spans="1:17" ht="112" customHeight="1" x14ac:dyDescent="0.35">
      <c r="A64" s="15" t="s">
        <v>1534</v>
      </c>
      <c r="B64" s="16" t="s">
        <v>26</v>
      </c>
      <c r="C64" s="30" t="b">
        <v>0</v>
      </c>
      <c r="D64" s="30" t="b">
        <v>0</v>
      </c>
      <c r="E64" s="30" t="b">
        <v>0</v>
      </c>
      <c r="F64" s="30" t="b">
        <v>0</v>
      </c>
      <c r="G64" s="30" t="b">
        <v>0</v>
      </c>
      <c r="H64" s="32" t="b">
        <v>1</v>
      </c>
      <c r="I64" s="33" t="b">
        <v>0</v>
      </c>
      <c r="J64" s="17" t="s">
        <v>75</v>
      </c>
      <c r="K64" s="17" t="s">
        <v>15</v>
      </c>
      <c r="L64" s="13" t="s">
        <v>16</v>
      </c>
      <c r="M64" s="13" t="s">
        <v>1516</v>
      </c>
      <c r="N64" s="38"/>
      <c r="O64" s="39" t="str" cm="1">
        <f t="array" aca="1" ref="O64" ca="1">_xlfn.LET(_xlpm.activo,K64,_xlpm.horaTxt,J64,_xlpm.base,TODAY(),_xlpm.fechas,_xlpm.base+_xlfn.SEQUENCE(180,,0),_xlpm.hora,IF(ISNUMBER(_xlpm.horaTxt),_xlpm.horaTxt,IFERROR(TIMEVALUE(SUBSTITUTE(_xlpm.horaTxt," hrs","")),TIME(9,0,0))),_xlpm.dias,(C64*(WEEKDAY(_xlpm.fechas,2)=1))+(D64*(WEEKDAY(_xlpm.fechas,2)=2))+(E64*(WEEKDAY(_xlpm.fechas,2)=3))+(F64*(WEEKDAY(_xlpm.fechas,2)=4))+(G64*(WEEKDAY(_xlpm.fechas,2)=5))+(H64*(WEEKDAY(_xlpm.fechas,2)=6))+(I64*(WEEKDAY(_xlpm.fechas,2)=7)),_xlpm.validas,_xlfn._xlws.FILTER(_xlpm.fechas,(_xlpm.dias&gt;0)*((_xlpm.fechas+_xlpm.hora)&gt;=(NOW()-TIME(0,3,0)))),_xlpm.prox,_xlfn.TAKE(_xlpm.validas,4),IF(_xlpm.activo&lt;&gt;"SI","Inactivo",IF(SUMPRODUCT(--C64:I64)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64" s="20" t="s">
        <v>29</v>
      </c>
      <c r="Q64" s="20"/>
    </row>
    <row r="65" spans="1:17" ht="112" customHeight="1" x14ac:dyDescent="0.35">
      <c r="A65" s="26" t="s">
        <v>1535</v>
      </c>
      <c r="B65" s="16"/>
      <c r="C65" s="30"/>
      <c r="D65" s="30"/>
      <c r="E65" s="30"/>
      <c r="F65" s="30"/>
      <c r="G65" s="30"/>
      <c r="H65" s="32"/>
      <c r="I65" s="33"/>
      <c r="J65" s="17"/>
      <c r="K65" s="17"/>
      <c r="N65" s="35"/>
      <c r="O65" s="36"/>
      <c r="P65" s="20"/>
      <c r="Q65" s="20"/>
    </row>
    <row r="66" spans="1:17" ht="112" customHeight="1" x14ac:dyDescent="0.35">
      <c r="A66" s="18" t="s">
        <v>1536</v>
      </c>
      <c r="B66" s="16" t="s">
        <v>13</v>
      </c>
      <c r="C66" s="30" t="b">
        <v>0</v>
      </c>
      <c r="D66" s="30" t="b">
        <v>0</v>
      </c>
      <c r="E66" s="30" t="b">
        <v>0</v>
      </c>
      <c r="F66" s="30" t="b">
        <v>0</v>
      </c>
      <c r="G66" s="30" t="b">
        <v>0</v>
      </c>
      <c r="H66" s="32" t="b">
        <v>0</v>
      </c>
      <c r="I66" s="33" t="b">
        <v>0</v>
      </c>
      <c r="J66" s="17"/>
      <c r="K66" s="17" t="s">
        <v>15</v>
      </c>
      <c r="L66" s="13" t="s">
        <v>16</v>
      </c>
      <c r="M66" s="13" t="s">
        <v>1516</v>
      </c>
      <c r="N66" s="38"/>
      <c r="O66" s="39" t="str" cm="1">
        <f t="array" aca="1" ref="O66" ca="1">_xlfn.LET(_xlpm.activo,K66,_xlpm.horaTxt,J66,_xlpm.base,TODAY(),_xlpm.fechas,_xlpm.base+_xlfn.SEQUENCE(180,,0),_xlpm.hora,IF(ISNUMBER(_xlpm.horaTxt),_xlpm.horaTxt,IFERROR(TIMEVALUE(SUBSTITUTE(_xlpm.horaTxt," hrs","")),TIME(9,0,0))),_xlpm.dias,(C66*(WEEKDAY(_xlpm.fechas,2)=1))+(D66*(WEEKDAY(_xlpm.fechas,2)=2))+(E66*(WEEKDAY(_xlpm.fechas,2)=3))+(F66*(WEEKDAY(_xlpm.fechas,2)=4))+(G66*(WEEKDAY(_xlpm.fechas,2)=5))+(H66*(WEEKDAY(_xlpm.fechas,2)=6))+(I66*(WEEKDAY(_xlpm.fechas,2)=7)),_xlpm.validas,_xlfn._xlws.FILTER(_xlpm.fechas,(_xlpm.dias&gt;0)*((_xlpm.fechas+_xlpm.hora)&gt;=(NOW()-TIME(0,3,0)))),_xlpm.prox,_xlfn.TAKE(_xlpm.validas,4),IF(_xlpm.activo&lt;&gt;"SI","Inactivo",IF(SUMPRODUCT(--C66:I66)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66" s="20" t="s">
        <v>17</v>
      </c>
      <c r="Q66" s="20"/>
    </row>
    <row r="67" spans="1:17" ht="112" customHeight="1" x14ac:dyDescent="0.35">
      <c r="A67" s="18" t="s">
        <v>1536</v>
      </c>
      <c r="B67" s="16" t="s">
        <v>18</v>
      </c>
      <c r="C67" s="30" t="b">
        <v>1</v>
      </c>
      <c r="D67" s="31" t="b">
        <v>0</v>
      </c>
      <c r="E67" s="30" t="b">
        <v>0</v>
      </c>
      <c r="F67" s="30" t="b">
        <v>1</v>
      </c>
      <c r="G67" s="30" t="b">
        <v>0</v>
      </c>
      <c r="H67" s="32" t="b">
        <v>0</v>
      </c>
      <c r="I67" s="33" t="b">
        <v>0</v>
      </c>
      <c r="J67" s="25" t="s">
        <v>73</v>
      </c>
      <c r="K67" s="17" t="s">
        <v>15</v>
      </c>
      <c r="L67" s="13" t="s">
        <v>16</v>
      </c>
      <c r="M67" s="13" t="s">
        <v>1516</v>
      </c>
      <c r="N67" s="38"/>
      <c r="O67" s="39" t="str" cm="1">
        <f t="array" aca="1" ref="O67" ca="1">_xlfn.LET(_xlpm.activo,K67,_xlpm.horaTxt,J67,_xlpm.base,TODAY(),_xlpm.fechas,_xlpm.base+_xlfn.SEQUENCE(180,,0),_xlpm.hora,IF(ISNUMBER(_xlpm.horaTxt),_xlpm.horaTxt,IFERROR(TIMEVALUE(SUBSTITUTE(_xlpm.horaTxt," hrs","")),TIME(9,0,0))),_xlpm.dias,(C67*(WEEKDAY(_xlpm.fechas,2)=1))+(D67*(WEEKDAY(_xlpm.fechas,2)=2))+(E67*(WEEKDAY(_xlpm.fechas,2)=3))+(F67*(WEEKDAY(_xlpm.fechas,2)=4))+(G67*(WEEKDAY(_xlpm.fechas,2)=5))+(H67*(WEEKDAY(_xlpm.fechas,2)=6))+(I67*(WEEKDAY(_xlpm.fechas,2)=7)),_xlpm.validas,_xlfn._xlws.FILTER(_xlpm.fechas,(_xlpm.dias&gt;0)*((_xlpm.fechas+_xlpm.hora)&gt;=(NOW()-TIME(0,3,0)))),_xlpm.prox,_xlfn.TAKE(_xlpm.validas,4),IF(_xlpm.activo&lt;&gt;"SI","Inactivo",IF(SUMPRODUCT(--C67:I67)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67" s="20" t="s">
        <v>20</v>
      </c>
      <c r="Q67" s="20"/>
    </row>
    <row r="68" spans="1:17" ht="112" customHeight="1" x14ac:dyDescent="0.35">
      <c r="A68" s="18" t="s">
        <v>1536</v>
      </c>
      <c r="B68" s="16" t="s">
        <v>21</v>
      </c>
      <c r="C68" s="30" t="b">
        <v>1</v>
      </c>
      <c r="D68" s="31" t="b">
        <v>0</v>
      </c>
      <c r="E68" s="30" t="b">
        <v>0</v>
      </c>
      <c r="F68" s="30" t="b">
        <v>1</v>
      </c>
      <c r="G68" s="30" t="b">
        <v>0</v>
      </c>
      <c r="H68" s="32" t="b">
        <v>0</v>
      </c>
      <c r="I68" s="33" t="b">
        <v>0</v>
      </c>
      <c r="J68" s="25" t="s">
        <v>74</v>
      </c>
      <c r="K68" s="17" t="s">
        <v>15</v>
      </c>
      <c r="L68" s="13" t="s">
        <v>16</v>
      </c>
      <c r="M68" s="13" t="s">
        <v>1516</v>
      </c>
      <c r="N68" s="38"/>
      <c r="O68" s="39" t="str" cm="1">
        <f t="array" aca="1" ref="O68" ca="1">_xlfn.LET(_xlpm.activo,K68,_xlpm.horaTxt,J68,_xlpm.base,TODAY(),_xlpm.fechas,_xlpm.base+_xlfn.SEQUENCE(180,,0),_xlpm.hora,IF(ISNUMBER(_xlpm.horaTxt),_xlpm.horaTxt,IFERROR(TIMEVALUE(SUBSTITUTE(_xlpm.horaTxt," hrs","")),TIME(9,0,0))),_xlpm.dias,(C68*(WEEKDAY(_xlpm.fechas,2)=1))+(D68*(WEEKDAY(_xlpm.fechas,2)=2))+(E68*(WEEKDAY(_xlpm.fechas,2)=3))+(F68*(WEEKDAY(_xlpm.fechas,2)=4))+(G68*(WEEKDAY(_xlpm.fechas,2)=5))+(H68*(WEEKDAY(_xlpm.fechas,2)=6))+(I68*(WEEKDAY(_xlpm.fechas,2)=7)),_xlpm.validas,_xlfn._xlws.FILTER(_xlpm.fechas,(_xlpm.dias&gt;0)*((_xlpm.fechas+_xlpm.hora)&gt;=(NOW()-TIME(0,3,0)))),_xlpm.prox,_xlfn.TAKE(_xlpm.validas,4),IF(_xlpm.activo&lt;&gt;"SI","Inactivo",IF(SUMPRODUCT(--C68:I68)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68" s="20" t="s">
        <v>22</v>
      </c>
      <c r="Q68" s="20"/>
    </row>
    <row r="69" spans="1:17" ht="112" customHeight="1" x14ac:dyDescent="0.35">
      <c r="A69" s="18" t="s">
        <v>1536</v>
      </c>
      <c r="B69" s="16" t="s">
        <v>23</v>
      </c>
      <c r="C69" s="30" t="b">
        <v>0</v>
      </c>
      <c r="D69" s="31" t="b">
        <v>1</v>
      </c>
      <c r="E69" s="30" t="b">
        <v>0</v>
      </c>
      <c r="F69" s="30" t="b">
        <v>1</v>
      </c>
      <c r="G69" s="30" t="b">
        <v>0</v>
      </c>
      <c r="H69" s="32" t="b">
        <v>0</v>
      </c>
      <c r="I69" s="33" t="b">
        <v>0</v>
      </c>
      <c r="J69" s="25" t="s">
        <v>75</v>
      </c>
      <c r="K69" s="17" t="s">
        <v>15</v>
      </c>
      <c r="L69" s="13" t="s">
        <v>16</v>
      </c>
      <c r="M69" s="13" t="s">
        <v>1516</v>
      </c>
      <c r="N69" s="38"/>
      <c r="O69" s="39" t="str" cm="1">
        <f t="array" aca="1" ref="O69" ca="1">_xlfn.LET(_xlpm.activo,K69,_xlpm.horaTxt,J69,_xlpm.base,TODAY(),_xlpm.fechas,_xlpm.base+_xlfn.SEQUENCE(180,,0),_xlpm.hora,IF(ISNUMBER(_xlpm.horaTxt),_xlpm.horaTxt,IFERROR(TIMEVALUE(SUBSTITUTE(_xlpm.horaTxt," hrs","")),TIME(9,0,0))),_xlpm.dias,(C69*(WEEKDAY(_xlpm.fechas,2)=1))+(D69*(WEEKDAY(_xlpm.fechas,2)=2))+(E69*(WEEKDAY(_xlpm.fechas,2)=3))+(F69*(WEEKDAY(_xlpm.fechas,2)=4))+(G69*(WEEKDAY(_xlpm.fechas,2)=5))+(H69*(WEEKDAY(_xlpm.fechas,2)=6))+(I69*(WEEKDAY(_xlpm.fechas,2)=7)),_xlpm.validas,_xlfn._xlws.FILTER(_xlpm.fechas,(_xlpm.dias&gt;0)*((_xlpm.fechas+_xlpm.hora)&gt;=(NOW()-TIME(0,3,0)))),_xlpm.prox,_xlfn.TAKE(_xlpm.validas,4),IF(_xlpm.activo&lt;&gt;"SI","Inactivo",IF(SUMPRODUCT(--C69:I69)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69" s="20" t="s">
        <v>25</v>
      </c>
      <c r="Q69" s="20"/>
    </row>
    <row r="70" spans="1:17" ht="112" customHeight="1" x14ac:dyDescent="0.35">
      <c r="A70" s="18" t="s">
        <v>1536</v>
      </c>
      <c r="B70" s="16" t="s">
        <v>26</v>
      </c>
      <c r="C70" s="30" t="b">
        <v>0</v>
      </c>
      <c r="D70" s="30" t="b">
        <v>0</v>
      </c>
      <c r="E70" s="30" t="b">
        <v>0</v>
      </c>
      <c r="F70" s="30" t="b">
        <v>0</v>
      </c>
      <c r="G70" s="30" t="b">
        <v>0</v>
      </c>
      <c r="H70" s="32" t="b">
        <v>1</v>
      </c>
      <c r="I70" s="33" t="b">
        <v>0</v>
      </c>
      <c r="J70" s="17" t="s">
        <v>75</v>
      </c>
      <c r="K70" s="17" t="s">
        <v>15</v>
      </c>
      <c r="L70" s="13" t="s">
        <v>16</v>
      </c>
      <c r="M70" s="13" t="s">
        <v>1516</v>
      </c>
      <c r="N70" s="38"/>
      <c r="O70" s="39" t="str" cm="1">
        <f t="array" aca="1" ref="O70" ca="1">_xlfn.LET(_xlpm.activo,K70,_xlpm.horaTxt,J70,_xlpm.base,TODAY(),_xlpm.fechas,_xlpm.base+_xlfn.SEQUENCE(180,,0),_xlpm.hora,IF(ISNUMBER(_xlpm.horaTxt),_xlpm.horaTxt,IFERROR(TIMEVALUE(SUBSTITUTE(_xlpm.horaTxt," hrs","")),TIME(9,0,0))),_xlpm.dias,(C70*(WEEKDAY(_xlpm.fechas,2)=1))+(D70*(WEEKDAY(_xlpm.fechas,2)=2))+(E70*(WEEKDAY(_xlpm.fechas,2)=3))+(F70*(WEEKDAY(_xlpm.fechas,2)=4))+(G70*(WEEKDAY(_xlpm.fechas,2)=5))+(H70*(WEEKDAY(_xlpm.fechas,2)=6))+(I70*(WEEKDAY(_xlpm.fechas,2)=7)),_xlpm.validas,_xlfn._xlws.FILTER(_xlpm.fechas,(_xlpm.dias&gt;0)*((_xlpm.fechas+_xlpm.hora)&gt;=(NOW()-TIME(0,3,0)))),_xlpm.prox,_xlfn.TAKE(_xlpm.validas,4),IF(_xlpm.activo&lt;&gt;"SI","Inactivo",IF(SUMPRODUCT(--C70:I70)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70" s="20" t="s">
        <v>29</v>
      </c>
      <c r="Q70" s="20"/>
    </row>
    <row r="71" spans="1:17" ht="112" customHeight="1" x14ac:dyDescent="0.35">
      <c r="A71" s="26" t="s">
        <v>1537</v>
      </c>
      <c r="B71" s="16"/>
      <c r="C71" s="30"/>
      <c r="D71" s="30"/>
      <c r="E71" s="30"/>
      <c r="F71" s="30"/>
      <c r="G71" s="30"/>
      <c r="H71" s="32"/>
      <c r="I71" s="33"/>
      <c r="J71" s="17"/>
      <c r="K71" s="17"/>
      <c r="N71" s="35"/>
      <c r="O71" s="36"/>
      <c r="P71" s="20"/>
      <c r="Q71" s="20"/>
    </row>
    <row r="72" spans="1:17" ht="112" customHeight="1" x14ac:dyDescent="0.35">
      <c r="A72" s="19" t="s">
        <v>1538</v>
      </c>
      <c r="B72" s="16" t="s">
        <v>13</v>
      </c>
      <c r="C72" s="30" t="b">
        <v>0</v>
      </c>
      <c r="D72" s="30" t="b">
        <v>0</v>
      </c>
      <c r="E72" s="30" t="b">
        <v>0</v>
      </c>
      <c r="F72" s="30" t="b">
        <v>0</v>
      </c>
      <c r="G72" s="30" t="b">
        <v>0</v>
      </c>
      <c r="H72" s="32" t="b">
        <v>0</v>
      </c>
      <c r="I72" s="33" t="b">
        <v>0</v>
      </c>
      <c r="J72" s="17"/>
      <c r="K72" s="17" t="s">
        <v>15</v>
      </c>
      <c r="L72" s="13" t="s">
        <v>16</v>
      </c>
      <c r="M72" s="13" t="s">
        <v>1516</v>
      </c>
      <c r="N72" s="38"/>
      <c r="O72" s="39" t="str" cm="1">
        <f t="array" aca="1" ref="O72" ca="1">_xlfn.LET(_xlpm.activo,K72,_xlpm.horaTxt,J72,_xlpm.base,TODAY(),_xlpm.fechas,_xlpm.base+_xlfn.SEQUENCE(180,,0),_xlpm.hora,IF(ISNUMBER(_xlpm.horaTxt),_xlpm.horaTxt,IFERROR(TIMEVALUE(SUBSTITUTE(_xlpm.horaTxt," hrs","")),TIME(9,0,0))),_xlpm.dias,(C72*(WEEKDAY(_xlpm.fechas,2)=1))+(D72*(WEEKDAY(_xlpm.fechas,2)=2))+(E72*(WEEKDAY(_xlpm.fechas,2)=3))+(F72*(WEEKDAY(_xlpm.fechas,2)=4))+(G72*(WEEKDAY(_xlpm.fechas,2)=5))+(H72*(WEEKDAY(_xlpm.fechas,2)=6))+(I72*(WEEKDAY(_xlpm.fechas,2)=7)),_xlpm.validas,_xlfn._xlws.FILTER(_xlpm.fechas,(_xlpm.dias&gt;0)*((_xlpm.fechas+_xlpm.hora)&gt;=(NOW()-TIME(0,3,0)))),_xlpm.prox,_xlfn.TAKE(_xlpm.validas,4),IF(_xlpm.activo&lt;&gt;"SI","Inactivo",IF(SUMPRODUCT(--C72:I72)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72" s="20" t="s">
        <v>17</v>
      </c>
      <c r="Q72" s="20"/>
    </row>
    <row r="73" spans="1:17" ht="112" customHeight="1" x14ac:dyDescent="0.35">
      <c r="A73" s="19" t="s">
        <v>1538</v>
      </c>
      <c r="B73" s="16" t="s">
        <v>18</v>
      </c>
      <c r="C73" s="30" t="b">
        <v>1</v>
      </c>
      <c r="D73" s="31" t="b">
        <v>0</v>
      </c>
      <c r="E73" s="30" t="b">
        <v>0</v>
      </c>
      <c r="F73" s="30" t="b">
        <v>1</v>
      </c>
      <c r="G73" s="30" t="b">
        <v>0</v>
      </c>
      <c r="H73" s="32" t="b">
        <v>0</v>
      </c>
      <c r="I73" s="33" t="b">
        <v>0</v>
      </c>
      <c r="J73" s="25" t="s">
        <v>73</v>
      </c>
      <c r="K73" s="17" t="s">
        <v>15</v>
      </c>
      <c r="L73" s="13" t="s">
        <v>16</v>
      </c>
      <c r="M73" s="13" t="s">
        <v>1516</v>
      </c>
      <c r="N73" s="38"/>
      <c r="O73" s="39" t="str" cm="1">
        <f t="array" aca="1" ref="O73" ca="1">_xlfn.LET(_xlpm.activo,K73,_xlpm.horaTxt,J73,_xlpm.base,TODAY(),_xlpm.fechas,_xlpm.base+_xlfn.SEQUENCE(180,,0),_xlpm.hora,IF(ISNUMBER(_xlpm.horaTxt),_xlpm.horaTxt,IFERROR(TIMEVALUE(SUBSTITUTE(_xlpm.horaTxt," hrs","")),TIME(9,0,0))),_xlpm.dias,(C73*(WEEKDAY(_xlpm.fechas,2)=1))+(D73*(WEEKDAY(_xlpm.fechas,2)=2))+(E73*(WEEKDAY(_xlpm.fechas,2)=3))+(F73*(WEEKDAY(_xlpm.fechas,2)=4))+(G73*(WEEKDAY(_xlpm.fechas,2)=5))+(H73*(WEEKDAY(_xlpm.fechas,2)=6))+(I73*(WEEKDAY(_xlpm.fechas,2)=7)),_xlpm.validas,_xlfn._xlws.FILTER(_xlpm.fechas,(_xlpm.dias&gt;0)*((_xlpm.fechas+_xlpm.hora)&gt;=(NOW()-TIME(0,3,0)))),_xlpm.prox,_xlfn.TAKE(_xlpm.validas,4),IF(_xlpm.activo&lt;&gt;"SI","Inactivo",IF(SUMPRODUCT(--C73:I73)=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73" s="20" t="s">
        <v>20</v>
      </c>
      <c r="Q73" s="20"/>
    </row>
    <row r="74" spans="1:17" ht="112" customHeight="1" x14ac:dyDescent="0.35">
      <c r="A74" s="19" t="s">
        <v>1538</v>
      </c>
      <c r="B74" s="16" t="s">
        <v>21</v>
      </c>
      <c r="C74" s="30" t="b">
        <v>1</v>
      </c>
      <c r="D74" s="31" t="b">
        <v>0</v>
      </c>
      <c r="E74" s="30" t="b">
        <v>0</v>
      </c>
      <c r="F74" s="30" t="b">
        <v>1</v>
      </c>
      <c r="G74" s="30" t="b">
        <v>0</v>
      </c>
      <c r="H74" s="32" t="b">
        <v>0</v>
      </c>
      <c r="I74" s="33" t="b">
        <v>0</v>
      </c>
      <c r="J74" s="25" t="s">
        <v>74</v>
      </c>
      <c r="K74" s="17" t="s">
        <v>15</v>
      </c>
      <c r="L74" s="13" t="s">
        <v>16</v>
      </c>
      <c r="M74" s="13" t="s">
        <v>1516</v>
      </c>
      <c r="N74" s="38"/>
      <c r="O74" s="39" t="str" cm="1">
        <f t="array" aca="1" ref="O74" ca="1">_xlfn.LET(_xlpm.activo,K74,_xlpm.horaTxt,J74,_xlpm.base,TODAY(),_xlpm.fechas,_xlpm.base+_xlfn.SEQUENCE(180,,0),_xlpm.hora,IF(ISNUMBER(_xlpm.horaTxt),_xlpm.horaTxt,IFERROR(TIMEVALUE(SUBSTITUTE(_xlpm.horaTxt," hrs","")),TIME(9,0,0))),_xlpm.dias,(C74*(WEEKDAY(_xlpm.fechas,2)=1))+(D74*(WEEKDAY(_xlpm.fechas,2)=2))+(E74*(WEEKDAY(_xlpm.fechas,2)=3))+(F74*(WEEKDAY(_xlpm.fechas,2)=4))+(G74*(WEEKDAY(_xlpm.fechas,2)=5))+(H74*(WEEKDAY(_xlpm.fechas,2)=6))+(I74*(WEEKDAY(_xlpm.fechas,2)=7)),_xlpm.validas,_xlfn._xlws.FILTER(_xlpm.fechas,(_xlpm.dias&gt;0)*((_xlpm.fechas+_xlpm.hora)&gt;=(NOW()-TIME(0,3,0)))),_xlpm.prox,_xlfn.TAKE(_xlpm.validas,4),IF(_xlpm.activo&lt;&gt;"SI","Inactivo",IF(SUMPRODUCT(--C74:I74)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74" s="20" t="s">
        <v>22</v>
      </c>
      <c r="Q74" s="20"/>
    </row>
    <row r="75" spans="1:17" ht="112" customHeight="1" x14ac:dyDescent="0.35">
      <c r="A75" s="19" t="s">
        <v>1538</v>
      </c>
      <c r="B75" s="16" t="s">
        <v>23</v>
      </c>
      <c r="C75" s="30" t="b">
        <v>0</v>
      </c>
      <c r="D75" s="31" t="b">
        <v>1</v>
      </c>
      <c r="E75" s="30" t="b">
        <v>0</v>
      </c>
      <c r="F75" s="30" t="b">
        <v>1</v>
      </c>
      <c r="G75" s="30" t="b">
        <v>0</v>
      </c>
      <c r="H75" s="32" t="b">
        <v>0</v>
      </c>
      <c r="I75" s="33" t="b">
        <v>0</v>
      </c>
      <c r="J75" s="25" t="s">
        <v>75</v>
      </c>
      <c r="K75" s="17" t="s">
        <v>15</v>
      </c>
      <c r="L75" s="13" t="s">
        <v>16</v>
      </c>
      <c r="M75" s="13" t="s">
        <v>1516</v>
      </c>
      <c r="N75" s="38"/>
      <c r="O75" s="39" t="str" cm="1">
        <f t="array" aca="1" ref="O75" ca="1">_xlfn.LET(_xlpm.activo,K75,_xlpm.horaTxt,J75,_xlpm.base,TODAY(),_xlpm.fechas,_xlpm.base+_xlfn.SEQUENCE(180,,0),_xlpm.hora,IF(ISNUMBER(_xlpm.horaTxt),_xlpm.horaTxt,IFERROR(TIMEVALUE(SUBSTITUTE(_xlpm.horaTxt," hrs","")),TIME(9,0,0))),_xlpm.dias,(C75*(WEEKDAY(_xlpm.fechas,2)=1))+(D75*(WEEKDAY(_xlpm.fechas,2)=2))+(E75*(WEEKDAY(_xlpm.fechas,2)=3))+(F75*(WEEKDAY(_xlpm.fechas,2)=4))+(G75*(WEEKDAY(_xlpm.fechas,2)=5))+(H75*(WEEKDAY(_xlpm.fechas,2)=6))+(I75*(WEEKDAY(_xlpm.fechas,2)=7)),_xlpm.validas,_xlfn._xlws.FILTER(_xlpm.fechas,(_xlpm.dias&gt;0)*((_xlpm.fechas+_xlpm.hora)&gt;=(NOW()-TIME(0,3,0)))),_xlpm.prox,_xlfn.TAKE(_xlpm.validas,4),IF(_xlpm.activo&lt;&gt;"SI","Inactivo",IF(SUMPRODUCT(--C75:I75)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75" s="20" t="s">
        <v>25</v>
      </c>
      <c r="Q75" s="20"/>
    </row>
    <row r="76" spans="1:17" ht="112" customHeight="1" x14ac:dyDescent="0.35">
      <c r="A76" s="19" t="s">
        <v>1538</v>
      </c>
      <c r="B76" s="16" t="s">
        <v>26</v>
      </c>
      <c r="C76" s="30" t="b">
        <v>0</v>
      </c>
      <c r="D76" s="30" t="b">
        <v>0</v>
      </c>
      <c r="E76" s="30" t="b">
        <v>0</v>
      </c>
      <c r="F76" s="30" t="b">
        <v>0</v>
      </c>
      <c r="G76" s="30" t="b">
        <v>0</v>
      </c>
      <c r="H76" s="32" t="b">
        <v>1</v>
      </c>
      <c r="I76" s="33" t="b">
        <v>0</v>
      </c>
      <c r="J76" s="17" t="s">
        <v>75</v>
      </c>
      <c r="K76" s="17" t="s">
        <v>15</v>
      </c>
      <c r="L76" s="13" t="s">
        <v>16</v>
      </c>
      <c r="M76" s="13" t="s">
        <v>1516</v>
      </c>
      <c r="N76" s="38"/>
      <c r="O76" s="39" t="str" cm="1">
        <f t="array" aca="1" ref="O76" ca="1">_xlfn.LET(_xlpm.activo,K76,_xlpm.horaTxt,J76,_xlpm.base,TODAY(),_xlpm.fechas,_xlpm.base+_xlfn.SEQUENCE(180,,0),_xlpm.hora,IF(ISNUMBER(_xlpm.horaTxt),_xlpm.horaTxt,IFERROR(TIMEVALUE(SUBSTITUTE(_xlpm.horaTxt," hrs","")),TIME(9,0,0))),_xlpm.dias,(C76*(WEEKDAY(_xlpm.fechas,2)=1))+(D76*(WEEKDAY(_xlpm.fechas,2)=2))+(E76*(WEEKDAY(_xlpm.fechas,2)=3))+(F76*(WEEKDAY(_xlpm.fechas,2)=4))+(G76*(WEEKDAY(_xlpm.fechas,2)=5))+(H76*(WEEKDAY(_xlpm.fechas,2)=6))+(I76*(WEEKDAY(_xlpm.fechas,2)=7)),_xlpm.validas,_xlfn._xlws.FILTER(_xlpm.fechas,(_xlpm.dias&gt;0)*((_xlpm.fechas+_xlpm.hora)&gt;=(NOW()-TIME(0,3,0)))),_xlpm.prox,_xlfn.TAKE(_xlpm.validas,4),IF(_xlpm.activo&lt;&gt;"SI","Inactivo",IF(SUMPRODUCT(--C76:I76)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76" s="20" t="s">
        <v>29</v>
      </c>
      <c r="Q76" s="20"/>
    </row>
    <row r="77" spans="1:17" ht="112" customHeight="1" x14ac:dyDescent="0.35">
      <c r="A77" s="26" t="s">
        <v>1539</v>
      </c>
      <c r="B77" s="16"/>
      <c r="C77" s="30"/>
      <c r="D77" s="30"/>
      <c r="E77" s="30"/>
      <c r="F77" s="30"/>
      <c r="G77" s="30"/>
      <c r="H77" s="32"/>
      <c r="I77" s="33"/>
      <c r="J77" s="17"/>
      <c r="K77" s="17"/>
      <c r="N77" s="35"/>
      <c r="O77" s="36"/>
      <c r="P77" s="20"/>
      <c r="Q77" s="20"/>
    </row>
    <row r="78" spans="1:17" ht="112" customHeight="1" x14ac:dyDescent="0.35">
      <c r="A78" s="15" t="s">
        <v>1540</v>
      </c>
      <c r="B78" s="16" t="s">
        <v>13</v>
      </c>
      <c r="C78" s="30" t="b">
        <v>0</v>
      </c>
      <c r="D78" s="30" t="b">
        <v>0</v>
      </c>
      <c r="E78" s="30" t="b">
        <v>0</v>
      </c>
      <c r="F78" s="30" t="b">
        <v>0</v>
      </c>
      <c r="G78" s="30" t="b">
        <v>0</v>
      </c>
      <c r="H78" s="32" t="b">
        <v>0</v>
      </c>
      <c r="I78" s="33" t="b">
        <v>0</v>
      </c>
      <c r="J78" s="17"/>
      <c r="K78" s="17" t="s">
        <v>15</v>
      </c>
      <c r="L78" s="13" t="s">
        <v>16</v>
      </c>
      <c r="M78" s="13" t="s">
        <v>1516</v>
      </c>
      <c r="N78" s="38"/>
      <c r="O78" s="39" t="str" cm="1">
        <f t="array" aca="1" ref="O78" ca="1">_xlfn.LET(_xlpm.activo,K78,_xlpm.horaTxt,J78,_xlpm.base,TODAY(),_xlpm.fechas,_xlpm.base+_xlfn.SEQUENCE(180,,0),_xlpm.hora,IF(ISNUMBER(_xlpm.horaTxt),_xlpm.horaTxt,IFERROR(TIMEVALUE(SUBSTITUTE(_xlpm.horaTxt," hrs","")),TIME(9,0,0))),_xlpm.dias,(C78*(WEEKDAY(_xlpm.fechas,2)=1))+(D78*(WEEKDAY(_xlpm.fechas,2)=2))+(E78*(WEEKDAY(_xlpm.fechas,2)=3))+(F78*(WEEKDAY(_xlpm.fechas,2)=4))+(G78*(WEEKDAY(_xlpm.fechas,2)=5))+(H78*(WEEKDAY(_xlpm.fechas,2)=6))+(I78*(WEEKDAY(_xlpm.fechas,2)=7)),_xlpm.validas,_xlfn._xlws.FILTER(_xlpm.fechas,(_xlpm.dias&gt;0)*((_xlpm.fechas+_xlpm.hora)&gt;=(NOW()-TIME(0,3,0)))),_xlpm.prox,_xlfn.TAKE(_xlpm.validas,4),IF(_xlpm.activo&lt;&gt;"SI","Inactivo",IF(SUMPRODUCT(--C78:I78)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78" s="20" t="s">
        <v>17</v>
      </c>
      <c r="Q78" s="20"/>
    </row>
    <row r="79" spans="1:17" ht="112" customHeight="1" x14ac:dyDescent="0.35">
      <c r="A79" s="15" t="s">
        <v>1540</v>
      </c>
      <c r="B79" s="16" t="s">
        <v>18</v>
      </c>
      <c r="C79" s="30" t="b">
        <v>1</v>
      </c>
      <c r="D79" s="31" t="b">
        <v>0</v>
      </c>
      <c r="E79" s="30" t="b">
        <v>0</v>
      </c>
      <c r="F79" s="30" t="b">
        <v>1</v>
      </c>
      <c r="G79" s="30" t="b">
        <v>0</v>
      </c>
      <c r="H79" s="32" t="b">
        <v>0</v>
      </c>
      <c r="I79" s="33" t="b">
        <v>0</v>
      </c>
      <c r="J79" s="25" t="s">
        <v>73</v>
      </c>
      <c r="K79" s="17" t="s">
        <v>15</v>
      </c>
      <c r="L79" s="13" t="s">
        <v>16</v>
      </c>
      <c r="M79" s="13" t="s">
        <v>1516</v>
      </c>
      <c r="N79" s="38"/>
      <c r="O79" s="39" t="str" cm="1">
        <f t="array" aca="1" ref="O79" ca="1">_xlfn.LET(_xlpm.activo,K79,_xlpm.horaTxt,J79,_xlpm.base,TODAY(),_xlpm.fechas,_xlpm.base+_xlfn.SEQUENCE(180,,0),_xlpm.hora,IF(ISNUMBER(_xlpm.horaTxt),_xlpm.horaTxt,IFERROR(TIMEVALUE(SUBSTITUTE(_xlpm.horaTxt," hrs","")),TIME(9,0,0))),_xlpm.dias,(C79*(WEEKDAY(_xlpm.fechas,2)=1))+(D79*(WEEKDAY(_xlpm.fechas,2)=2))+(E79*(WEEKDAY(_xlpm.fechas,2)=3))+(F79*(WEEKDAY(_xlpm.fechas,2)=4))+(G79*(WEEKDAY(_xlpm.fechas,2)=5))+(H79*(WEEKDAY(_xlpm.fechas,2)=6))+(I79*(WEEKDAY(_xlpm.fechas,2)=7)),_xlpm.validas,_xlfn._xlws.FILTER(_xlpm.fechas,(_xlpm.dias&gt;0)*((_xlpm.fechas+_xlpm.hora)&gt;=(NOW()-TIME(0,3,0)))),_xlpm.prox,_xlfn.TAKE(_xlpm.validas,4),IF(_xlpm.activo&lt;&gt;"SI","Inactivo",IF(SUMPRODUCT(--C79:I79)=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19:00 hrs
jueves 16/Jul/2026 19:00 hrs
lunes 20/Jul/2026 19:00 hrs
jueves 23/Jul/2026 19:00 hrs</v>
      </c>
      <c r="P79" s="20" t="s">
        <v>20</v>
      </c>
      <c r="Q79" s="20"/>
    </row>
    <row r="80" spans="1:17" ht="112" customHeight="1" x14ac:dyDescent="0.35">
      <c r="A80" s="15" t="s">
        <v>1540</v>
      </c>
      <c r="B80" s="16" t="s">
        <v>21</v>
      </c>
      <c r="C80" s="30" t="b">
        <v>1</v>
      </c>
      <c r="D80" s="31" t="b">
        <v>0</v>
      </c>
      <c r="E80" s="30" t="b">
        <v>0</v>
      </c>
      <c r="F80" s="30" t="b">
        <v>1</v>
      </c>
      <c r="G80" s="30" t="b">
        <v>0</v>
      </c>
      <c r="H80" s="32" t="b">
        <v>0</v>
      </c>
      <c r="I80" s="33" t="b">
        <v>0</v>
      </c>
      <c r="J80" s="25" t="s">
        <v>74</v>
      </c>
      <c r="K80" s="17" t="s">
        <v>15</v>
      </c>
      <c r="L80" s="13" t="s">
        <v>16</v>
      </c>
      <c r="M80" s="13" t="s">
        <v>1516</v>
      </c>
      <c r="N80" s="38"/>
      <c r="O80" s="39" t="str" cm="1">
        <f t="array" aca="1" ref="O80" ca="1">_xlfn.LET(_xlpm.activo,K80,_xlpm.horaTxt,J80,_xlpm.base,TODAY(),_xlpm.fechas,_xlpm.base+_xlfn.SEQUENCE(180,,0),_xlpm.hora,IF(ISNUMBER(_xlpm.horaTxt),_xlpm.horaTxt,IFERROR(TIMEVALUE(SUBSTITUTE(_xlpm.horaTxt," hrs","")),TIME(9,0,0))),_xlpm.dias,(C80*(WEEKDAY(_xlpm.fechas,2)=1))+(D80*(WEEKDAY(_xlpm.fechas,2)=2))+(E80*(WEEKDAY(_xlpm.fechas,2)=3))+(F80*(WEEKDAY(_xlpm.fechas,2)=4))+(G80*(WEEKDAY(_xlpm.fechas,2)=5))+(H80*(WEEKDAY(_xlpm.fechas,2)=6))+(I80*(WEEKDAY(_xlpm.fechas,2)=7)),_xlpm.validas,_xlfn._xlws.FILTER(_xlpm.fechas,(_xlpm.dias&gt;0)*((_xlpm.fechas+_xlpm.hora)&gt;=(NOW()-TIME(0,3,0)))),_xlpm.prox,_xlfn.TAKE(_xlpm.validas,4),IF(_xlpm.activo&lt;&gt;"SI","Inactivo",IF(SUMPRODUCT(--C80:I80)=0,"Manual / cuando aplique",_xlfn.TEXTJOIN(CHAR(10),TRUE,_xlfn.MAP(_xlpm.prox,_xlfn.LAMBDA(_xlpm.f,CHOOSE(WEEKDAY(_xlpm.f),"domingo","lunes","martes","miércoles","jueves","viernes","sábado")&amp;" "&amp;TEXT(_xlpm.f,"dd")&amp;"/"&amp;CHOOSE(MONTH(_xlpm.f),"Ene","Feb","Mar","Abr","May","Jun","Jul","Ago","Sep","Oct","Nov","Dic")&amp;"/"&amp;TEXT(_xlpm.f,"yyyy")&amp;" "&amp;TEXT(_xlpm.hora,"hh:mm")&amp;" hrs"))))))</f>
        <v>lunes 13/Jul/2026 20:00 hrs
jueves 16/Jul/2026 20:00 hrs
lunes 20/Jul/2026 20:00 hrs
jueves 23/Jul/2026 20:00 hrs</v>
      </c>
      <c r="P80" s="20" t="s">
        <v>22</v>
      </c>
      <c r="Q80" s="20"/>
    </row>
    <row r="81" spans="1:17" ht="112" customHeight="1" x14ac:dyDescent="0.35">
      <c r="A81" s="15" t="s">
        <v>1540</v>
      </c>
      <c r="B81" s="16" t="s">
        <v>23</v>
      </c>
      <c r="C81" s="30" t="b">
        <v>0</v>
      </c>
      <c r="D81" s="31" t="b">
        <v>1</v>
      </c>
      <c r="E81" s="30" t="b">
        <v>0</v>
      </c>
      <c r="F81" s="30" t="b">
        <v>1</v>
      </c>
      <c r="G81" s="30" t="b">
        <v>0</v>
      </c>
      <c r="H81" s="32" t="b">
        <v>0</v>
      </c>
      <c r="I81" s="33" t="b">
        <v>0</v>
      </c>
      <c r="J81" s="25" t="s">
        <v>75</v>
      </c>
      <c r="K81" s="17" t="s">
        <v>15</v>
      </c>
      <c r="L81" s="13" t="s">
        <v>16</v>
      </c>
      <c r="M81" s="13" t="s">
        <v>1516</v>
      </c>
      <c r="N81" s="38"/>
      <c r="O81" s="39" t="str" cm="1">
        <f t="array" aca="1" ref="O81" ca="1">_xlfn.LET(_xlpm.activo,K81,_xlpm.horaTxt,J81,_xlpm.base,TODAY(),_xlpm.fechas,_xlpm.base+_xlfn.SEQUENCE(180,,0),_xlpm.hora,IF(ISNUMBER(_xlpm.horaTxt),_xlpm.horaTxt,IFERROR(TIMEVALUE(SUBSTITUTE(_xlpm.horaTxt," hrs","")),TIME(9,0,0))),_xlpm.dias,(C81*(WEEKDAY(_xlpm.fechas,2)=1))+(D81*(WEEKDAY(_xlpm.fechas,2)=2))+(E81*(WEEKDAY(_xlpm.fechas,2)=3))+(F81*(WEEKDAY(_xlpm.fechas,2)=4))+(G81*(WEEKDAY(_xlpm.fechas,2)=5))+(H81*(WEEKDAY(_xlpm.fechas,2)=6))+(I81*(WEEKDAY(_xlpm.fechas,2)=7)),_xlpm.validas,_xlfn._xlws.FILTER(_xlpm.fechas,(_xlpm.dias&gt;0)*((_xlpm.fechas+_xlpm.hora)&gt;=(NOW()-TIME(0,3,0)))),_xlpm.prox,_xlfn.TAKE(_xlpm.validas,4),IF(_xlpm.activo&lt;&gt;"SI","Inactivo",IF(SUMPRODUCT(--C81:I81)=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martes 14/Jul/2026 21:00 hrs
jueves 16/Jul/2026 21:00 hrs
martes 21/Jul/2026 21:00 hrs
jueves 23/Jul/2026 21:00 hrs</v>
      </c>
      <c r="P81" s="20" t="s">
        <v>25</v>
      </c>
      <c r="Q81" s="20"/>
    </row>
    <row r="82" spans="1:17" ht="112" customHeight="1" x14ac:dyDescent="0.35">
      <c r="A82" s="15" t="s">
        <v>1540</v>
      </c>
      <c r="B82" s="16" t="s">
        <v>26</v>
      </c>
      <c r="C82" s="30" t="b">
        <v>0</v>
      </c>
      <c r="D82" s="30" t="b">
        <v>0</v>
      </c>
      <c r="E82" s="30" t="b">
        <v>0</v>
      </c>
      <c r="F82" s="30" t="b">
        <v>0</v>
      </c>
      <c r="G82" s="30" t="b">
        <v>0</v>
      </c>
      <c r="H82" s="32" t="b">
        <v>1</v>
      </c>
      <c r="I82" s="33" t="b">
        <v>0</v>
      </c>
      <c r="J82" s="17" t="s">
        <v>75</v>
      </c>
      <c r="K82" s="17" t="s">
        <v>15</v>
      </c>
      <c r="L82" s="13" t="s">
        <v>16</v>
      </c>
      <c r="M82" s="13" t="s">
        <v>1516</v>
      </c>
      <c r="N82" s="38"/>
      <c r="O82" s="39" t="str" cm="1">
        <f t="array" aca="1" ref="O82" ca="1">_xlfn.LET(_xlpm.activo,K82,_xlpm.horaTxt,J82,_xlpm.base,TODAY(),_xlpm.fechas,_xlpm.base+_xlfn.SEQUENCE(180,,0),_xlpm.hora,IF(ISNUMBER(_xlpm.horaTxt),_xlpm.horaTxt,IFERROR(TIMEVALUE(SUBSTITUTE(_xlpm.horaTxt," hrs","")),TIME(9,0,0))),_xlpm.dias,(C82*(WEEKDAY(_xlpm.fechas,2)=1))+(D82*(WEEKDAY(_xlpm.fechas,2)=2))+(E82*(WEEKDAY(_xlpm.fechas,2)=3))+(F82*(WEEKDAY(_xlpm.fechas,2)=4))+(G82*(WEEKDAY(_xlpm.fechas,2)=5))+(H82*(WEEKDAY(_xlpm.fechas,2)=6))+(I82*(WEEKDAY(_xlpm.fechas,2)=7)),_xlpm.validas,_xlfn._xlws.FILTER(_xlpm.fechas,(_xlpm.dias&gt;0)*((_xlpm.fechas+_xlpm.hora)&gt;=(NOW()-TIME(0,3,0)))),_xlpm.prox,_xlfn.TAKE(_xlpm.validas,4),IF(_xlpm.activo&lt;&gt;"SI","Inactivo",IF(SUMPRODUCT(--C82:I82)=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82" s="20" t="s">
        <v>29</v>
      </c>
      <c r="Q82" s="20"/>
    </row>
    <row r="83" spans="1:17" ht="112" customHeight="1" x14ac:dyDescent="0.35">
      <c r="A83" s="26" t="s">
        <v>1541</v>
      </c>
      <c r="B83" s="16"/>
      <c r="C83" s="30"/>
      <c r="D83" s="30"/>
      <c r="E83" s="30"/>
      <c r="F83" s="30"/>
      <c r="G83" s="30"/>
      <c r="H83" s="32"/>
      <c r="I83" s="33"/>
      <c r="J83" s="17"/>
      <c r="N83" s="35"/>
      <c r="O83" s="36"/>
      <c r="P83" s="20"/>
      <c r="Q83" s="20"/>
    </row>
    <row r="84" spans="1:17" ht="112" customHeight="1" x14ac:dyDescent="0.35">
      <c r="A84" s="15" t="s">
        <v>1542</v>
      </c>
      <c r="B84" s="16" t="s">
        <v>13</v>
      </c>
      <c r="C84" s="30" t="b">
        <v>0</v>
      </c>
      <c r="D84" s="30" t="b">
        <v>0</v>
      </c>
      <c r="E84" s="30" t="b">
        <v>0</v>
      </c>
      <c r="F84" s="30" t="b">
        <v>0</v>
      </c>
      <c r="G84" s="34" t="b">
        <v>0</v>
      </c>
      <c r="H84" s="32" t="b">
        <v>0</v>
      </c>
      <c r="I84" s="33" t="b">
        <v>0</v>
      </c>
      <c r="J84" s="17"/>
      <c r="K84" s="20" t="s">
        <v>15</v>
      </c>
      <c r="L84" s="13" t="s">
        <v>16</v>
      </c>
      <c r="M84" s="13" t="s">
        <v>1516</v>
      </c>
      <c r="N84" s="38"/>
      <c r="O84" s="39" t="str" cm="1">
        <f t="array" aca="1" ref="O84" ca="1">_xlfn.LET(_xlpm.activo,K84,_xlpm.horaTxt,J84,_xlpm.base,TODAY(),_xlpm.fechas,_xlpm.base+_xlfn.SEQUENCE(180,,0),_xlpm.hora,IF(ISNUMBER(_xlpm.horaTxt),_xlpm.horaTxt,IFERROR(TIMEVALUE(SUBSTITUTE(_xlpm.horaTxt," hrs","")),TIME(9,0,0))),_xlpm.dias,(C84*(WEEKDAY(_xlpm.fechas,2)=1))+(D84*(WEEKDAY(_xlpm.fechas,2)=2))+(E84*(WEEKDAY(_xlpm.fechas,2)=3))+(F84*(WEEKDAY(_xlpm.fechas,2)=4))+(G84*(WEEKDAY(_xlpm.fechas,2)=5))+(H84*(WEEKDAY(_xlpm.fechas,2)=6))+(I84*(WEEKDAY(_xlpm.fechas,2)=7)),_xlpm.validas,_xlfn._xlws.FILTER(_xlpm.fechas,(_xlpm.dias&gt;0)*((_xlpm.fechas+_xlpm.hora)&gt;=(NOW()-TIME(0,3,0)))),_xlpm.prox,_xlfn.TAKE(_xlpm.validas,4),IF(_xlpm.activo&lt;&gt;"SI","Inactivo",IF(SUMPRODUCT(--C84:I84)=0,"Manual / cuando aplique",_xlfn.TEXTJOIN(CHAR(10),TRUE,_xlfn.MAP(_xlpm.prox,_xlfn.LAMBDA(_xlpm.f,CHOOSE(WEEKDAY(_xlpm.f),"domingo","lunes","martes","miércoles","jueves","viernes","sábado")&amp;" "&amp;TEXT(_xlpm.f,"dd")&amp;"/"&amp;CHOOSE(MONTH(_xlpm.f),"Ene","Feb","Mar","Abr","May","Jun","Jul","Ago","Sep","Oct","Nov","Dic")&amp;"/"&amp;TEXT(_xlpm.f,"yyyy")&amp;" "&amp;TEXT(_xlpm.hora,"hh:mm")&amp;" hrs"))))))</f>
        <v>Manual / cuando aplique</v>
      </c>
      <c r="P84" s="20" t="s">
        <v>17</v>
      </c>
      <c r="Q84" s="20"/>
    </row>
    <row r="85" spans="1:17" ht="112" customHeight="1" x14ac:dyDescent="0.35">
      <c r="A85" s="15" t="s">
        <v>1542</v>
      </c>
      <c r="B85" s="16" t="s">
        <v>18</v>
      </c>
      <c r="C85" s="30" t="b">
        <v>0</v>
      </c>
      <c r="D85" s="31" t="b">
        <v>0</v>
      </c>
      <c r="E85" s="30" t="b">
        <v>0</v>
      </c>
      <c r="F85" s="30" t="b">
        <v>0</v>
      </c>
      <c r="G85" s="30" t="b">
        <v>1</v>
      </c>
      <c r="H85" s="32" t="b">
        <v>0</v>
      </c>
      <c r="I85" s="33" t="b">
        <v>0</v>
      </c>
      <c r="J85" s="25" t="s">
        <v>880</v>
      </c>
      <c r="K85" s="13" t="s">
        <v>15</v>
      </c>
      <c r="L85" s="13" t="s">
        <v>16</v>
      </c>
      <c r="M85" s="13" t="s">
        <v>1516</v>
      </c>
      <c r="N85" s="38"/>
      <c r="O85" s="39" t="str" cm="1">
        <f t="array" aca="1" ref="O85" ca="1">_xlfn.LET(_xlpm.activo,K85,_xlpm.horaTxt,J85,_xlpm.base,TODAY(),_xlpm.fechas,_xlpm.base+_xlfn.SEQUENCE(180,,0),_xlpm.hora,IF(ISNUMBER(_xlpm.horaTxt),_xlpm.horaTxt,IFERROR(TIMEVALUE(SUBSTITUTE(_xlpm.horaTxt," hrs","")),TIME(9,0,0))),_xlpm.dias,(C85*(WEEKDAY(_xlpm.fechas,2)=1))+(D85*(WEEKDAY(_xlpm.fechas,2)=2))+(E85*(WEEKDAY(_xlpm.fechas,2)=3))+(F85*(WEEKDAY(_xlpm.fechas,2)=4))+(G85*(WEEKDAY(_xlpm.fechas,2)=5))+(H85*(WEEKDAY(_xlpm.fechas,2)=6))+(I85*(WEEKDAY(_xlpm.fechas,2)=7)),_xlpm.validas,_xlfn._xlws.FILTER(_xlpm.fechas,(_xlpm.dias&gt;0)*((_xlpm.fechas+_xlpm.hora)&gt;=(NOW()-TIME(0,3,0)))),_xlpm.prox,_xlfn.TAKE(_xlpm.validas,4),IF(_xlpm.activo&lt;&gt;"SI","Inactivo",IF(SUMPRODUCT(--C85:I85)=0,"Manual / cuando aplique",_xlfn.TEXTJOIN(CHAR(10),TRUE,_xlfn.MAP(_xlpm.prox,_xlfn.LAMBDA(_xlpm.f,CHOOSE(WEEKDAY(_xlpm.f),"domingo","lunes","martes","miércoles","jueves","viernes","sábado")&amp;" "&amp;TEXT(_xlpm.f,"dd")&amp;"/"&amp;CHOOSE(MONTH(_xlpm.f),"Ene","Feb","Mar","Abr","May","Jun","Jul","Ago","Sep","Oct","Nov","Dic")&amp;"/"&amp;TEXT(_xlpm.f,"yyyy")&amp;" "&amp;TEXT(_xlpm.hora,"hh:mm")&amp;" hrs"))))))</f>
        <v>viernes 10/Jul/2026 13:24 hrs
viernes 17/Jul/2026 13:24 hrs
viernes 24/Jul/2026 13:24 hrs
viernes 31/Jul/2026 13:24 hrs</v>
      </c>
      <c r="P85" s="20" t="s">
        <v>20</v>
      </c>
      <c r="Q85" s="20"/>
    </row>
    <row r="86" spans="1:17" ht="112" customHeight="1" x14ac:dyDescent="0.35">
      <c r="A86" s="15" t="s">
        <v>1542</v>
      </c>
      <c r="B86" s="16" t="s">
        <v>21</v>
      </c>
      <c r="C86" s="30" t="b">
        <v>0</v>
      </c>
      <c r="D86" s="31" t="b">
        <v>0</v>
      </c>
      <c r="E86" s="30" t="b">
        <v>0</v>
      </c>
      <c r="F86" s="30" t="b">
        <v>0</v>
      </c>
      <c r="G86" s="30" t="b">
        <v>1</v>
      </c>
      <c r="H86" s="32" t="b">
        <v>0</v>
      </c>
      <c r="I86" s="33" t="b">
        <v>0</v>
      </c>
      <c r="J86" s="25" t="s">
        <v>882</v>
      </c>
      <c r="K86" s="13" t="s">
        <v>15</v>
      </c>
      <c r="L86" s="13" t="s">
        <v>16</v>
      </c>
      <c r="M86" s="13" t="s">
        <v>1516</v>
      </c>
      <c r="N86" s="38"/>
      <c r="O86" s="39" t="str" cm="1">
        <f t="array" aca="1" ref="O86" ca="1">_xlfn.LET(_xlpm.activo,K86,_xlpm.horaTxt,J86,_xlpm.base,TODAY(),_xlpm.fechas,_xlpm.base+_xlfn.SEQUENCE(180,,0),_xlpm.hora,IF(ISNUMBER(_xlpm.horaTxt),_xlpm.horaTxt,IFERROR(TIMEVALUE(SUBSTITUTE(_xlpm.horaTxt," hrs","")),TIME(9,0,0))),_xlpm.dias,(C86*(WEEKDAY(_xlpm.fechas,2)=1))+(D86*(WEEKDAY(_xlpm.fechas,2)=2))+(E86*(WEEKDAY(_xlpm.fechas,2)=3))+(F86*(WEEKDAY(_xlpm.fechas,2)=4))+(G86*(WEEKDAY(_xlpm.fechas,2)=5))+(H86*(WEEKDAY(_xlpm.fechas,2)=6))+(I86*(WEEKDAY(_xlpm.fechas,2)=7)),_xlpm.validas,_xlfn._xlws.FILTER(_xlpm.fechas,(_xlpm.dias&gt;0)*((_xlpm.fechas+_xlpm.hora)&gt;=(NOW()-TIME(0,3,0)))),_xlpm.prox,_xlfn.TAKE(_xlpm.validas,4),IF(_xlpm.activo&lt;&gt;"SI","Inactivo",IF(SUMPRODUCT(--C86:I86)=0,"Manual / cuando aplique",_xlfn.TEXTJOIN(CHAR(10),TRUE,_xlfn.MAP(_xlpm.prox,_xlfn.LAMBDA(_xlpm.f,CHOOSE(WEEKDAY(_xlpm.f),"domingo","lunes","martes","miércoles","jueves","viernes","sábado")&amp;" "&amp;TEXT(_xlpm.f,"dd")&amp;"/"&amp;CHOOSE(MONTH(_xlpm.f),"Ene","Feb","Mar","Abr","May","Jun","Jul","Ago","Sep","Oct","Nov","Dic")&amp;"/"&amp;TEXT(_xlpm.f,"yyyy")&amp;" "&amp;TEXT(_xlpm.hora,"hh:mm")&amp;" hrs"))))))</f>
        <v>viernes 10/Jul/2026 13:26 hrs
viernes 17/Jul/2026 13:26 hrs
viernes 24/Jul/2026 13:26 hrs
viernes 31/Jul/2026 13:26 hrs</v>
      </c>
      <c r="P86" s="20" t="s">
        <v>22</v>
      </c>
      <c r="Q86" s="20"/>
    </row>
    <row r="87" spans="1:17" ht="112" customHeight="1" x14ac:dyDescent="0.35">
      <c r="A87" s="15" t="s">
        <v>1542</v>
      </c>
      <c r="B87" s="16" t="s">
        <v>23</v>
      </c>
      <c r="C87" s="30" t="b">
        <v>0</v>
      </c>
      <c r="D87" s="31" t="b">
        <v>1</v>
      </c>
      <c r="E87" s="30" t="b">
        <v>0</v>
      </c>
      <c r="F87" s="30" t="b">
        <v>1</v>
      </c>
      <c r="G87" s="30" t="b">
        <v>1</v>
      </c>
      <c r="H87" s="32" t="b">
        <v>0</v>
      </c>
      <c r="I87" s="33" t="b">
        <v>0</v>
      </c>
      <c r="J87" s="25" t="s">
        <v>883</v>
      </c>
      <c r="K87" s="13" t="s">
        <v>15</v>
      </c>
      <c r="L87" s="13" t="s">
        <v>16</v>
      </c>
      <c r="M87" s="13" t="s">
        <v>1516</v>
      </c>
      <c r="N87" s="38"/>
      <c r="O87" s="39" t="str" cm="1">
        <f t="array" aca="1" ref="O87" ca="1">_xlfn.LET(_xlpm.activo,K87,_xlpm.horaTxt,J87,_xlpm.base,TODAY(),_xlpm.fechas,_xlpm.base+_xlfn.SEQUENCE(180,,0),_xlpm.hora,IF(ISNUMBER(_xlpm.horaTxt),_xlpm.horaTxt,IFERROR(TIMEVALUE(SUBSTITUTE(_xlpm.horaTxt," hrs","")),TIME(9,0,0))),_xlpm.dias,(C87*(WEEKDAY(_xlpm.fechas,2)=1))+(D87*(WEEKDAY(_xlpm.fechas,2)=2))+(E87*(WEEKDAY(_xlpm.fechas,2)=3))+(F87*(WEEKDAY(_xlpm.fechas,2)=4))+(G87*(WEEKDAY(_xlpm.fechas,2)=5))+(H87*(WEEKDAY(_xlpm.fechas,2)=6))+(I87*(WEEKDAY(_xlpm.fechas,2)=7)),_xlpm.validas,_xlfn._xlws.FILTER(_xlpm.fechas,(_xlpm.dias&gt;0)*((_xlpm.fechas+_xlpm.hora)&gt;=(NOW()-TIME(0,3,0)))),_xlpm.prox,_xlfn.TAKE(_xlpm.validas,4),IF(_xlpm.activo&lt;&gt;"SI","Inactivo",IF(SUMPRODUCT(--C87:I87)=0,"Manual / cuando aplique",_xlfn.TEXTJOIN(CHAR(10),TRUE,_xlfn.MAP(_xlpm.prox,_xlfn.LAMBDA(_xlpm.f,CHOOSE(WEEKDAY(_xlpm.f),"domingo","lunes","martes","miércoles","jueves","viernes","sábado")&amp;" "&amp;TEXT(_xlpm.f,"dd")&amp;"/"&amp;CHOOSE(MONTH(_xlpm.f),"Ene","Feb","Mar","Abr","May","Jun","Jul","Ago","Sep","Oct","Nov","Dic")&amp;"/"&amp;TEXT(_xlpm.f,"yyyy")&amp;" "&amp;TEXT(_xlpm.hora,"hh:mm")&amp;" hrs"))))))</f>
        <v>viernes 10/Jul/2026 13:27 hrs
martes 14/Jul/2026 13:27 hrs
jueves 16/Jul/2026 13:27 hrs
viernes 17/Jul/2026 13:27 hrs</v>
      </c>
      <c r="P87" s="20" t="s">
        <v>25</v>
      </c>
      <c r="Q87" s="20"/>
    </row>
    <row r="88" spans="1:17" ht="112" customHeight="1" x14ac:dyDescent="0.35">
      <c r="A88" s="15" t="s">
        <v>1542</v>
      </c>
      <c r="B88" s="16" t="s">
        <v>26</v>
      </c>
      <c r="C88" s="30" t="b">
        <v>0</v>
      </c>
      <c r="D88" s="30" t="b">
        <v>0</v>
      </c>
      <c r="E88" s="30" t="b">
        <v>0</v>
      </c>
      <c r="F88" s="30" t="b">
        <v>0</v>
      </c>
      <c r="G88" s="30" t="b">
        <v>0</v>
      </c>
      <c r="H88" s="32" t="b">
        <v>1</v>
      </c>
      <c r="I88" s="33" t="b">
        <v>0</v>
      </c>
      <c r="J88" s="17" t="s">
        <v>75</v>
      </c>
      <c r="K88" s="13" t="s">
        <v>15</v>
      </c>
      <c r="L88" s="13" t="s">
        <v>16</v>
      </c>
      <c r="M88" s="13" t="s">
        <v>1516</v>
      </c>
      <c r="N88" s="38"/>
      <c r="O88" s="39" t="str" cm="1">
        <f t="array" aca="1" ref="O88" ca="1">_xlfn.LET(_xlpm.activo,K88,_xlpm.horaTxt,J88,_xlpm.base,TODAY(),_xlpm.fechas,_xlpm.base+_xlfn.SEQUENCE(180,,0),_xlpm.hora,IF(ISNUMBER(_xlpm.horaTxt),_xlpm.horaTxt,IFERROR(TIMEVALUE(SUBSTITUTE(_xlpm.horaTxt," hrs","")),TIME(9,0,0))),_xlpm.dias,(C88*(WEEKDAY(_xlpm.fechas,2)=1))+(D88*(WEEKDAY(_xlpm.fechas,2)=2))+(E88*(WEEKDAY(_xlpm.fechas,2)=3))+(F88*(WEEKDAY(_xlpm.fechas,2)=4))+(G88*(WEEKDAY(_xlpm.fechas,2)=5))+(H88*(WEEKDAY(_xlpm.fechas,2)=6))+(I88*(WEEKDAY(_xlpm.fechas,2)=7)),_xlpm.validas,_xlfn._xlws.FILTER(_xlpm.fechas,(_xlpm.dias&gt;0)*((_xlpm.fechas+_xlpm.hora)&gt;=(NOW()-TIME(0,3,0)))),_xlpm.prox,_xlfn.TAKE(_xlpm.validas,4),IF(_xlpm.activo&lt;&gt;"SI","Inactivo",IF(SUMPRODUCT(--C88:I88)=0,"Manual / cuando aplique",_xlfn.TEXTJOIN(CHAR(10),TRUE,_xlfn.MAP(_xlpm.prox,_xlfn.LAMBDA(_xlpm.f,CHOOSE(WEEKDAY(_xlpm.f),"domingo","lunes","martes","miércoles","jueves","viernes","sábado")&amp;" "&amp;TEXT(_xlpm.f,"dd")&amp;"/"&amp;CHOOSE(MONTH(_xlpm.f),"Ene","Feb","Mar","Abr","May","Jun","Jul","Ago","Sep","Oct","Nov","Dic")&amp;"/"&amp;TEXT(_xlpm.f,"yyyy")&amp;" "&amp;TEXT(_xlpm.hora,"hh:mm")&amp;" hrs"))))))</f>
        <v>sábado 11/Jul/2026 21:00 hrs
sábado 18/Jul/2026 21:00 hrs
sábado 25/Jul/2026 21:00 hrs
sábado 01/Ago/2026 21:00 hrs</v>
      </c>
      <c r="P88" s="20" t="s">
        <v>29</v>
      </c>
      <c r="Q88" s="20"/>
    </row>
  </sheetData>
  <sheetProtection algorithmName="SHA-512" hashValue="vVyb02UWSKCMmyTwjpij8F6+ytEUIh8hMHuHyJB4lRBzKiILAYvpQwivkHJvnhj3FYuaGOk6M+WKZb51t5WoxA==" saltValue="Dl4q+XYOHowaj9CtL+NAFw==" spinCount="100000" sheet="1" objects="1" scenarios="1"/>
  <autoFilter ref="A4:K4" xr:uid="{AD1A15E7-8076-4560-BC85-E3AD1DAADF89}"/>
  <mergeCells count="2">
    <mergeCell ref="A1:K1"/>
    <mergeCell ref="A2:Q2"/>
  </mergeCells>
  <conditionalFormatting sqref="G6:G500">
    <cfRule type="cellIs" dxfId="2" priority="1" stopIfTrue="1" operator="equal">
      <formula>"ENVIADO"</formula>
    </cfRule>
    <cfRule type="cellIs" dxfId="1" priority="2" stopIfTrue="1" operator="equal">
      <formula>"PENDIENTE"</formula>
    </cfRule>
    <cfRule type="cellIs" dxfId="0" priority="3" stopIfTrue="1" operator="equal">
      <formula>"ERROR"</formula>
    </cfRule>
  </conditionalFormatting>
  <dataValidations count="2">
    <dataValidation type="list" allowBlank="1" showInputMessage="1" showErrorMessage="1" sqref="E6:F500 K5:L88" xr:uid="{202A3C45-DF10-4847-A67B-7F88351D4E1E}">
      <formula1>"SI,NO"</formula1>
    </dataValidation>
    <dataValidation type="list" allowBlank="1" showInputMessage="1" showErrorMessage="1" sqref="G6:G500 M5:M88" xr:uid="{8FBE7343-0AD1-4414-9AE2-F59B1EB34007}">
      <formula1>"PENDIENTE,ENVIADO,ERROR,OMITIDO"</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locked="0" defaultSize="0" autoFill="0" autoLine="0" autoPict="0">
                <anchor moveWithCells="1">
                  <from>
                    <xdr:col>2</xdr:col>
                    <xdr:colOff>88900</xdr:colOff>
                    <xdr:row>5</xdr:row>
                    <xdr:rowOff>63500</xdr:rowOff>
                  </from>
                  <to>
                    <xdr:col>2</xdr:col>
                    <xdr:colOff>285750</xdr:colOff>
                    <xdr:row>5</xdr:row>
                    <xdr:rowOff>279400</xdr:rowOff>
                  </to>
                </anchor>
              </controlPr>
            </control>
          </mc:Choice>
        </mc:AlternateContent>
        <mc:AlternateContent xmlns:mc="http://schemas.openxmlformats.org/markup-compatibility/2006">
          <mc:Choice Requires="x14">
            <control shapeId="1031" r:id="rId5" name="Check Box 7">
              <controlPr locked="0" defaultSize="0" autoFill="0" autoLine="0" autoPict="0">
                <anchor moveWithCells="1">
                  <from>
                    <xdr:col>3</xdr:col>
                    <xdr:colOff>88900</xdr:colOff>
                    <xdr:row>5</xdr:row>
                    <xdr:rowOff>63500</xdr:rowOff>
                  </from>
                  <to>
                    <xdr:col>3</xdr:col>
                    <xdr:colOff>285750</xdr:colOff>
                    <xdr:row>5</xdr:row>
                    <xdr:rowOff>279400</xdr:rowOff>
                  </to>
                </anchor>
              </controlPr>
            </control>
          </mc:Choice>
        </mc:AlternateContent>
        <mc:AlternateContent xmlns:mc="http://schemas.openxmlformats.org/markup-compatibility/2006">
          <mc:Choice Requires="x14">
            <control shapeId="1032" r:id="rId6" name="Check Box 8">
              <controlPr locked="0" defaultSize="0" autoFill="0" autoLine="0" autoPict="0">
                <anchor moveWithCells="1">
                  <from>
                    <xdr:col>4</xdr:col>
                    <xdr:colOff>88900</xdr:colOff>
                    <xdr:row>5</xdr:row>
                    <xdr:rowOff>63500</xdr:rowOff>
                  </from>
                  <to>
                    <xdr:col>4</xdr:col>
                    <xdr:colOff>285750</xdr:colOff>
                    <xdr:row>5</xdr:row>
                    <xdr:rowOff>279400</xdr:rowOff>
                  </to>
                </anchor>
              </controlPr>
            </control>
          </mc:Choice>
        </mc:AlternateContent>
        <mc:AlternateContent xmlns:mc="http://schemas.openxmlformats.org/markup-compatibility/2006">
          <mc:Choice Requires="x14">
            <control shapeId="1033" r:id="rId7" name="Check Box 9">
              <controlPr locked="0" defaultSize="0" autoFill="0" autoLine="0" autoPict="0">
                <anchor moveWithCells="1">
                  <from>
                    <xdr:col>5</xdr:col>
                    <xdr:colOff>88900</xdr:colOff>
                    <xdr:row>5</xdr:row>
                    <xdr:rowOff>63500</xdr:rowOff>
                  </from>
                  <to>
                    <xdr:col>5</xdr:col>
                    <xdr:colOff>285750</xdr:colOff>
                    <xdr:row>5</xdr:row>
                    <xdr:rowOff>279400</xdr:rowOff>
                  </to>
                </anchor>
              </controlPr>
            </control>
          </mc:Choice>
        </mc:AlternateContent>
        <mc:AlternateContent xmlns:mc="http://schemas.openxmlformats.org/markup-compatibility/2006">
          <mc:Choice Requires="x14">
            <control shapeId="1034" r:id="rId8" name="Check Box 10">
              <controlPr locked="0" defaultSize="0" autoFill="0" autoLine="0" autoPict="0">
                <anchor moveWithCells="1">
                  <from>
                    <xdr:col>6</xdr:col>
                    <xdr:colOff>88900</xdr:colOff>
                    <xdr:row>5</xdr:row>
                    <xdr:rowOff>63500</xdr:rowOff>
                  </from>
                  <to>
                    <xdr:col>6</xdr:col>
                    <xdr:colOff>285750</xdr:colOff>
                    <xdr:row>5</xdr:row>
                    <xdr:rowOff>279400</xdr:rowOff>
                  </to>
                </anchor>
              </controlPr>
            </control>
          </mc:Choice>
        </mc:AlternateContent>
        <mc:AlternateContent xmlns:mc="http://schemas.openxmlformats.org/markup-compatibility/2006">
          <mc:Choice Requires="x14">
            <control shapeId="1035" r:id="rId9" name="Check Box 11">
              <controlPr locked="0" defaultSize="0" autoFill="0" autoLine="0" autoPict="0">
                <anchor moveWithCells="1">
                  <from>
                    <xdr:col>7</xdr:col>
                    <xdr:colOff>88900</xdr:colOff>
                    <xdr:row>5</xdr:row>
                    <xdr:rowOff>63500</xdr:rowOff>
                  </from>
                  <to>
                    <xdr:col>7</xdr:col>
                    <xdr:colOff>285750</xdr:colOff>
                    <xdr:row>5</xdr:row>
                    <xdr:rowOff>279400</xdr:rowOff>
                  </to>
                </anchor>
              </controlPr>
            </control>
          </mc:Choice>
        </mc:AlternateContent>
        <mc:AlternateContent xmlns:mc="http://schemas.openxmlformats.org/markup-compatibility/2006">
          <mc:Choice Requires="x14">
            <control shapeId="1036" r:id="rId10" name="Check Box 12">
              <controlPr locked="0" defaultSize="0" autoFill="0" autoLine="0" autoPict="0">
                <anchor moveWithCells="1">
                  <from>
                    <xdr:col>8</xdr:col>
                    <xdr:colOff>88900</xdr:colOff>
                    <xdr:row>5</xdr:row>
                    <xdr:rowOff>63500</xdr:rowOff>
                  </from>
                  <to>
                    <xdr:col>8</xdr:col>
                    <xdr:colOff>285750</xdr:colOff>
                    <xdr:row>5</xdr:row>
                    <xdr:rowOff>279400</xdr:rowOff>
                  </to>
                </anchor>
              </controlPr>
            </control>
          </mc:Choice>
        </mc:AlternateContent>
        <mc:AlternateContent xmlns:mc="http://schemas.openxmlformats.org/markup-compatibility/2006">
          <mc:Choice Requires="x14">
            <control shapeId="1037" r:id="rId11" name="Check Box 13">
              <controlPr locked="0" defaultSize="0" autoFill="0" autoLine="0" autoPict="0">
                <anchor moveWithCells="1">
                  <from>
                    <xdr:col>2</xdr:col>
                    <xdr:colOff>88900</xdr:colOff>
                    <xdr:row>6</xdr:row>
                    <xdr:rowOff>63500</xdr:rowOff>
                  </from>
                  <to>
                    <xdr:col>2</xdr:col>
                    <xdr:colOff>285750</xdr:colOff>
                    <xdr:row>6</xdr:row>
                    <xdr:rowOff>279400</xdr:rowOff>
                  </to>
                </anchor>
              </controlPr>
            </control>
          </mc:Choice>
        </mc:AlternateContent>
        <mc:AlternateContent xmlns:mc="http://schemas.openxmlformats.org/markup-compatibility/2006">
          <mc:Choice Requires="x14">
            <control shapeId="1038" r:id="rId12" name="Check Box 14">
              <controlPr locked="0" defaultSize="0" autoFill="0" autoLine="0" autoPict="0">
                <anchor moveWithCells="1">
                  <from>
                    <xdr:col>3</xdr:col>
                    <xdr:colOff>88900</xdr:colOff>
                    <xdr:row>6</xdr:row>
                    <xdr:rowOff>63500</xdr:rowOff>
                  </from>
                  <to>
                    <xdr:col>3</xdr:col>
                    <xdr:colOff>285750</xdr:colOff>
                    <xdr:row>6</xdr:row>
                    <xdr:rowOff>279400</xdr:rowOff>
                  </to>
                </anchor>
              </controlPr>
            </control>
          </mc:Choice>
        </mc:AlternateContent>
        <mc:AlternateContent xmlns:mc="http://schemas.openxmlformats.org/markup-compatibility/2006">
          <mc:Choice Requires="x14">
            <control shapeId="1039" r:id="rId13" name="Check Box 15">
              <controlPr locked="0" defaultSize="0" autoFill="0" autoLine="0" autoPict="0">
                <anchor moveWithCells="1">
                  <from>
                    <xdr:col>4</xdr:col>
                    <xdr:colOff>88900</xdr:colOff>
                    <xdr:row>6</xdr:row>
                    <xdr:rowOff>63500</xdr:rowOff>
                  </from>
                  <to>
                    <xdr:col>4</xdr:col>
                    <xdr:colOff>285750</xdr:colOff>
                    <xdr:row>6</xdr:row>
                    <xdr:rowOff>279400</xdr:rowOff>
                  </to>
                </anchor>
              </controlPr>
            </control>
          </mc:Choice>
        </mc:AlternateContent>
        <mc:AlternateContent xmlns:mc="http://schemas.openxmlformats.org/markup-compatibility/2006">
          <mc:Choice Requires="x14">
            <control shapeId="1040" r:id="rId14" name="Check Box 16">
              <controlPr locked="0" defaultSize="0" autoFill="0" autoLine="0" autoPict="0">
                <anchor moveWithCells="1">
                  <from>
                    <xdr:col>5</xdr:col>
                    <xdr:colOff>88900</xdr:colOff>
                    <xdr:row>6</xdr:row>
                    <xdr:rowOff>63500</xdr:rowOff>
                  </from>
                  <to>
                    <xdr:col>5</xdr:col>
                    <xdr:colOff>285750</xdr:colOff>
                    <xdr:row>6</xdr:row>
                    <xdr:rowOff>279400</xdr:rowOff>
                  </to>
                </anchor>
              </controlPr>
            </control>
          </mc:Choice>
        </mc:AlternateContent>
        <mc:AlternateContent xmlns:mc="http://schemas.openxmlformats.org/markup-compatibility/2006">
          <mc:Choice Requires="x14">
            <control shapeId="1041" r:id="rId15" name="Check Box 17">
              <controlPr locked="0" defaultSize="0" autoFill="0" autoLine="0" autoPict="0">
                <anchor moveWithCells="1">
                  <from>
                    <xdr:col>6</xdr:col>
                    <xdr:colOff>88900</xdr:colOff>
                    <xdr:row>6</xdr:row>
                    <xdr:rowOff>63500</xdr:rowOff>
                  </from>
                  <to>
                    <xdr:col>6</xdr:col>
                    <xdr:colOff>285750</xdr:colOff>
                    <xdr:row>6</xdr:row>
                    <xdr:rowOff>279400</xdr:rowOff>
                  </to>
                </anchor>
              </controlPr>
            </control>
          </mc:Choice>
        </mc:AlternateContent>
        <mc:AlternateContent xmlns:mc="http://schemas.openxmlformats.org/markup-compatibility/2006">
          <mc:Choice Requires="x14">
            <control shapeId="1042" r:id="rId16" name="Check Box 18">
              <controlPr locked="0" defaultSize="0" autoFill="0" autoLine="0" autoPict="0">
                <anchor moveWithCells="1">
                  <from>
                    <xdr:col>7</xdr:col>
                    <xdr:colOff>88900</xdr:colOff>
                    <xdr:row>6</xdr:row>
                    <xdr:rowOff>63500</xdr:rowOff>
                  </from>
                  <to>
                    <xdr:col>7</xdr:col>
                    <xdr:colOff>285750</xdr:colOff>
                    <xdr:row>6</xdr:row>
                    <xdr:rowOff>279400</xdr:rowOff>
                  </to>
                </anchor>
              </controlPr>
            </control>
          </mc:Choice>
        </mc:AlternateContent>
        <mc:AlternateContent xmlns:mc="http://schemas.openxmlformats.org/markup-compatibility/2006">
          <mc:Choice Requires="x14">
            <control shapeId="1043" r:id="rId17" name="Check Box 19">
              <controlPr locked="0" defaultSize="0" autoFill="0" autoLine="0" autoPict="0">
                <anchor moveWithCells="1">
                  <from>
                    <xdr:col>8</xdr:col>
                    <xdr:colOff>88900</xdr:colOff>
                    <xdr:row>6</xdr:row>
                    <xdr:rowOff>63500</xdr:rowOff>
                  </from>
                  <to>
                    <xdr:col>8</xdr:col>
                    <xdr:colOff>285750</xdr:colOff>
                    <xdr:row>6</xdr:row>
                    <xdr:rowOff>279400</xdr:rowOff>
                  </to>
                </anchor>
              </controlPr>
            </control>
          </mc:Choice>
        </mc:AlternateContent>
        <mc:AlternateContent xmlns:mc="http://schemas.openxmlformats.org/markup-compatibility/2006">
          <mc:Choice Requires="x14">
            <control shapeId="1044" r:id="rId18" name="Check Box 20">
              <controlPr locked="0" defaultSize="0" autoFill="0" autoLine="0" autoPict="0">
                <anchor moveWithCells="1">
                  <from>
                    <xdr:col>2</xdr:col>
                    <xdr:colOff>88900</xdr:colOff>
                    <xdr:row>7</xdr:row>
                    <xdr:rowOff>63500</xdr:rowOff>
                  </from>
                  <to>
                    <xdr:col>2</xdr:col>
                    <xdr:colOff>285750</xdr:colOff>
                    <xdr:row>7</xdr:row>
                    <xdr:rowOff>279400</xdr:rowOff>
                  </to>
                </anchor>
              </controlPr>
            </control>
          </mc:Choice>
        </mc:AlternateContent>
        <mc:AlternateContent xmlns:mc="http://schemas.openxmlformats.org/markup-compatibility/2006">
          <mc:Choice Requires="x14">
            <control shapeId="1045" r:id="rId19" name="Check Box 21">
              <controlPr locked="0" defaultSize="0" autoFill="0" autoLine="0" autoPict="0">
                <anchor moveWithCells="1">
                  <from>
                    <xdr:col>3</xdr:col>
                    <xdr:colOff>88900</xdr:colOff>
                    <xdr:row>7</xdr:row>
                    <xdr:rowOff>63500</xdr:rowOff>
                  </from>
                  <to>
                    <xdr:col>3</xdr:col>
                    <xdr:colOff>285750</xdr:colOff>
                    <xdr:row>7</xdr:row>
                    <xdr:rowOff>279400</xdr:rowOff>
                  </to>
                </anchor>
              </controlPr>
            </control>
          </mc:Choice>
        </mc:AlternateContent>
        <mc:AlternateContent xmlns:mc="http://schemas.openxmlformats.org/markup-compatibility/2006">
          <mc:Choice Requires="x14">
            <control shapeId="1046" r:id="rId20" name="Check Box 22">
              <controlPr locked="0" defaultSize="0" autoFill="0" autoLine="0" autoPict="0">
                <anchor moveWithCells="1">
                  <from>
                    <xdr:col>4</xdr:col>
                    <xdr:colOff>88900</xdr:colOff>
                    <xdr:row>7</xdr:row>
                    <xdr:rowOff>63500</xdr:rowOff>
                  </from>
                  <to>
                    <xdr:col>4</xdr:col>
                    <xdr:colOff>285750</xdr:colOff>
                    <xdr:row>7</xdr:row>
                    <xdr:rowOff>279400</xdr:rowOff>
                  </to>
                </anchor>
              </controlPr>
            </control>
          </mc:Choice>
        </mc:AlternateContent>
        <mc:AlternateContent xmlns:mc="http://schemas.openxmlformats.org/markup-compatibility/2006">
          <mc:Choice Requires="x14">
            <control shapeId="1047" r:id="rId21" name="Check Box 23">
              <controlPr locked="0" defaultSize="0" autoFill="0" autoLine="0" autoPict="0">
                <anchor moveWithCells="1">
                  <from>
                    <xdr:col>5</xdr:col>
                    <xdr:colOff>88900</xdr:colOff>
                    <xdr:row>7</xdr:row>
                    <xdr:rowOff>63500</xdr:rowOff>
                  </from>
                  <to>
                    <xdr:col>5</xdr:col>
                    <xdr:colOff>285750</xdr:colOff>
                    <xdr:row>7</xdr:row>
                    <xdr:rowOff>279400</xdr:rowOff>
                  </to>
                </anchor>
              </controlPr>
            </control>
          </mc:Choice>
        </mc:AlternateContent>
        <mc:AlternateContent xmlns:mc="http://schemas.openxmlformats.org/markup-compatibility/2006">
          <mc:Choice Requires="x14">
            <control shapeId="1048" r:id="rId22" name="Check Box 24">
              <controlPr locked="0" defaultSize="0" autoFill="0" autoLine="0" autoPict="0">
                <anchor moveWithCells="1">
                  <from>
                    <xdr:col>6</xdr:col>
                    <xdr:colOff>88900</xdr:colOff>
                    <xdr:row>7</xdr:row>
                    <xdr:rowOff>63500</xdr:rowOff>
                  </from>
                  <to>
                    <xdr:col>6</xdr:col>
                    <xdr:colOff>285750</xdr:colOff>
                    <xdr:row>7</xdr:row>
                    <xdr:rowOff>279400</xdr:rowOff>
                  </to>
                </anchor>
              </controlPr>
            </control>
          </mc:Choice>
        </mc:AlternateContent>
        <mc:AlternateContent xmlns:mc="http://schemas.openxmlformats.org/markup-compatibility/2006">
          <mc:Choice Requires="x14">
            <control shapeId="1049" r:id="rId23" name="Check Box 25">
              <controlPr locked="0" defaultSize="0" autoFill="0" autoLine="0" autoPict="0">
                <anchor moveWithCells="1">
                  <from>
                    <xdr:col>7</xdr:col>
                    <xdr:colOff>88900</xdr:colOff>
                    <xdr:row>7</xdr:row>
                    <xdr:rowOff>63500</xdr:rowOff>
                  </from>
                  <to>
                    <xdr:col>7</xdr:col>
                    <xdr:colOff>285750</xdr:colOff>
                    <xdr:row>7</xdr:row>
                    <xdr:rowOff>279400</xdr:rowOff>
                  </to>
                </anchor>
              </controlPr>
            </control>
          </mc:Choice>
        </mc:AlternateContent>
        <mc:AlternateContent xmlns:mc="http://schemas.openxmlformats.org/markup-compatibility/2006">
          <mc:Choice Requires="x14">
            <control shapeId="1050" r:id="rId24" name="Check Box 26">
              <controlPr locked="0" defaultSize="0" autoFill="0" autoLine="0" autoPict="0">
                <anchor moveWithCells="1">
                  <from>
                    <xdr:col>8</xdr:col>
                    <xdr:colOff>88900</xdr:colOff>
                    <xdr:row>7</xdr:row>
                    <xdr:rowOff>63500</xdr:rowOff>
                  </from>
                  <to>
                    <xdr:col>8</xdr:col>
                    <xdr:colOff>285750</xdr:colOff>
                    <xdr:row>7</xdr:row>
                    <xdr:rowOff>279400</xdr:rowOff>
                  </to>
                </anchor>
              </controlPr>
            </control>
          </mc:Choice>
        </mc:AlternateContent>
        <mc:AlternateContent xmlns:mc="http://schemas.openxmlformats.org/markup-compatibility/2006">
          <mc:Choice Requires="x14">
            <control shapeId="1051" r:id="rId25" name="Check Box 27">
              <controlPr locked="0" defaultSize="0" autoFill="0" autoLine="0" autoPict="0">
                <anchor moveWithCells="1">
                  <from>
                    <xdr:col>2</xdr:col>
                    <xdr:colOff>88900</xdr:colOff>
                    <xdr:row>8</xdr:row>
                    <xdr:rowOff>63500</xdr:rowOff>
                  </from>
                  <to>
                    <xdr:col>2</xdr:col>
                    <xdr:colOff>285750</xdr:colOff>
                    <xdr:row>8</xdr:row>
                    <xdr:rowOff>279400</xdr:rowOff>
                  </to>
                </anchor>
              </controlPr>
            </control>
          </mc:Choice>
        </mc:AlternateContent>
        <mc:AlternateContent xmlns:mc="http://schemas.openxmlformats.org/markup-compatibility/2006">
          <mc:Choice Requires="x14">
            <control shapeId="1052" r:id="rId26" name="Check Box 28">
              <controlPr locked="0" defaultSize="0" autoFill="0" autoLine="0" autoPict="0">
                <anchor moveWithCells="1">
                  <from>
                    <xdr:col>3</xdr:col>
                    <xdr:colOff>88900</xdr:colOff>
                    <xdr:row>8</xdr:row>
                    <xdr:rowOff>63500</xdr:rowOff>
                  </from>
                  <to>
                    <xdr:col>3</xdr:col>
                    <xdr:colOff>285750</xdr:colOff>
                    <xdr:row>8</xdr:row>
                    <xdr:rowOff>279400</xdr:rowOff>
                  </to>
                </anchor>
              </controlPr>
            </control>
          </mc:Choice>
        </mc:AlternateContent>
        <mc:AlternateContent xmlns:mc="http://schemas.openxmlformats.org/markup-compatibility/2006">
          <mc:Choice Requires="x14">
            <control shapeId="1053" r:id="rId27" name="Check Box 29">
              <controlPr locked="0" defaultSize="0" autoFill="0" autoLine="0" autoPict="0">
                <anchor moveWithCells="1">
                  <from>
                    <xdr:col>4</xdr:col>
                    <xdr:colOff>88900</xdr:colOff>
                    <xdr:row>8</xdr:row>
                    <xdr:rowOff>63500</xdr:rowOff>
                  </from>
                  <to>
                    <xdr:col>4</xdr:col>
                    <xdr:colOff>285750</xdr:colOff>
                    <xdr:row>8</xdr:row>
                    <xdr:rowOff>279400</xdr:rowOff>
                  </to>
                </anchor>
              </controlPr>
            </control>
          </mc:Choice>
        </mc:AlternateContent>
        <mc:AlternateContent xmlns:mc="http://schemas.openxmlformats.org/markup-compatibility/2006">
          <mc:Choice Requires="x14">
            <control shapeId="1054" r:id="rId28" name="Check Box 30">
              <controlPr locked="0" defaultSize="0" autoFill="0" autoLine="0" autoPict="0">
                <anchor moveWithCells="1">
                  <from>
                    <xdr:col>5</xdr:col>
                    <xdr:colOff>88900</xdr:colOff>
                    <xdr:row>8</xdr:row>
                    <xdr:rowOff>63500</xdr:rowOff>
                  </from>
                  <to>
                    <xdr:col>5</xdr:col>
                    <xdr:colOff>285750</xdr:colOff>
                    <xdr:row>8</xdr:row>
                    <xdr:rowOff>279400</xdr:rowOff>
                  </to>
                </anchor>
              </controlPr>
            </control>
          </mc:Choice>
        </mc:AlternateContent>
        <mc:AlternateContent xmlns:mc="http://schemas.openxmlformats.org/markup-compatibility/2006">
          <mc:Choice Requires="x14">
            <control shapeId="1055" r:id="rId29" name="Check Box 31">
              <controlPr locked="0" defaultSize="0" autoFill="0" autoLine="0" autoPict="0">
                <anchor moveWithCells="1">
                  <from>
                    <xdr:col>6</xdr:col>
                    <xdr:colOff>88900</xdr:colOff>
                    <xdr:row>8</xdr:row>
                    <xdr:rowOff>63500</xdr:rowOff>
                  </from>
                  <to>
                    <xdr:col>6</xdr:col>
                    <xdr:colOff>285750</xdr:colOff>
                    <xdr:row>8</xdr:row>
                    <xdr:rowOff>279400</xdr:rowOff>
                  </to>
                </anchor>
              </controlPr>
            </control>
          </mc:Choice>
        </mc:AlternateContent>
        <mc:AlternateContent xmlns:mc="http://schemas.openxmlformats.org/markup-compatibility/2006">
          <mc:Choice Requires="x14">
            <control shapeId="1056" r:id="rId30" name="Check Box 32">
              <controlPr locked="0" defaultSize="0" autoFill="0" autoLine="0" autoPict="0">
                <anchor moveWithCells="1">
                  <from>
                    <xdr:col>7</xdr:col>
                    <xdr:colOff>88900</xdr:colOff>
                    <xdr:row>8</xdr:row>
                    <xdr:rowOff>63500</xdr:rowOff>
                  </from>
                  <to>
                    <xdr:col>7</xdr:col>
                    <xdr:colOff>285750</xdr:colOff>
                    <xdr:row>8</xdr:row>
                    <xdr:rowOff>279400</xdr:rowOff>
                  </to>
                </anchor>
              </controlPr>
            </control>
          </mc:Choice>
        </mc:AlternateContent>
        <mc:AlternateContent xmlns:mc="http://schemas.openxmlformats.org/markup-compatibility/2006">
          <mc:Choice Requires="x14">
            <control shapeId="1057" r:id="rId31" name="Check Box 33">
              <controlPr locked="0" defaultSize="0" autoFill="0" autoLine="0" autoPict="0">
                <anchor moveWithCells="1">
                  <from>
                    <xdr:col>8</xdr:col>
                    <xdr:colOff>88900</xdr:colOff>
                    <xdr:row>8</xdr:row>
                    <xdr:rowOff>63500</xdr:rowOff>
                  </from>
                  <to>
                    <xdr:col>8</xdr:col>
                    <xdr:colOff>285750</xdr:colOff>
                    <xdr:row>8</xdr:row>
                    <xdr:rowOff>279400</xdr:rowOff>
                  </to>
                </anchor>
              </controlPr>
            </control>
          </mc:Choice>
        </mc:AlternateContent>
        <mc:AlternateContent xmlns:mc="http://schemas.openxmlformats.org/markup-compatibility/2006">
          <mc:Choice Requires="x14">
            <control shapeId="1058" r:id="rId32" name="Check Box 34">
              <controlPr locked="0" defaultSize="0" autoFill="0" autoLine="0" autoPict="0">
                <anchor moveWithCells="1">
                  <from>
                    <xdr:col>2</xdr:col>
                    <xdr:colOff>88900</xdr:colOff>
                    <xdr:row>9</xdr:row>
                    <xdr:rowOff>63500</xdr:rowOff>
                  </from>
                  <to>
                    <xdr:col>2</xdr:col>
                    <xdr:colOff>285750</xdr:colOff>
                    <xdr:row>9</xdr:row>
                    <xdr:rowOff>279400</xdr:rowOff>
                  </to>
                </anchor>
              </controlPr>
            </control>
          </mc:Choice>
        </mc:AlternateContent>
        <mc:AlternateContent xmlns:mc="http://schemas.openxmlformats.org/markup-compatibility/2006">
          <mc:Choice Requires="x14">
            <control shapeId="1059" r:id="rId33" name="Check Box 35">
              <controlPr locked="0" defaultSize="0" autoFill="0" autoLine="0" autoPict="0">
                <anchor moveWithCells="1">
                  <from>
                    <xdr:col>3</xdr:col>
                    <xdr:colOff>88900</xdr:colOff>
                    <xdr:row>9</xdr:row>
                    <xdr:rowOff>63500</xdr:rowOff>
                  </from>
                  <to>
                    <xdr:col>3</xdr:col>
                    <xdr:colOff>285750</xdr:colOff>
                    <xdr:row>9</xdr:row>
                    <xdr:rowOff>279400</xdr:rowOff>
                  </to>
                </anchor>
              </controlPr>
            </control>
          </mc:Choice>
        </mc:AlternateContent>
        <mc:AlternateContent xmlns:mc="http://schemas.openxmlformats.org/markup-compatibility/2006">
          <mc:Choice Requires="x14">
            <control shapeId="1060" r:id="rId34" name="Check Box 36">
              <controlPr locked="0" defaultSize="0" autoFill="0" autoLine="0" autoPict="0">
                <anchor moveWithCells="1">
                  <from>
                    <xdr:col>4</xdr:col>
                    <xdr:colOff>88900</xdr:colOff>
                    <xdr:row>9</xdr:row>
                    <xdr:rowOff>63500</xdr:rowOff>
                  </from>
                  <to>
                    <xdr:col>4</xdr:col>
                    <xdr:colOff>285750</xdr:colOff>
                    <xdr:row>9</xdr:row>
                    <xdr:rowOff>279400</xdr:rowOff>
                  </to>
                </anchor>
              </controlPr>
            </control>
          </mc:Choice>
        </mc:AlternateContent>
        <mc:AlternateContent xmlns:mc="http://schemas.openxmlformats.org/markup-compatibility/2006">
          <mc:Choice Requires="x14">
            <control shapeId="1061" r:id="rId35" name="Check Box 37">
              <controlPr locked="0" defaultSize="0" autoFill="0" autoLine="0" autoPict="0">
                <anchor moveWithCells="1">
                  <from>
                    <xdr:col>5</xdr:col>
                    <xdr:colOff>88900</xdr:colOff>
                    <xdr:row>9</xdr:row>
                    <xdr:rowOff>63500</xdr:rowOff>
                  </from>
                  <to>
                    <xdr:col>5</xdr:col>
                    <xdr:colOff>285750</xdr:colOff>
                    <xdr:row>9</xdr:row>
                    <xdr:rowOff>279400</xdr:rowOff>
                  </to>
                </anchor>
              </controlPr>
            </control>
          </mc:Choice>
        </mc:AlternateContent>
        <mc:AlternateContent xmlns:mc="http://schemas.openxmlformats.org/markup-compatibility/2006">
          <mc:Choice Requires="x14">
            <control shapeId="1062" r:id="rId36" name="Check Box 38">
              <controlPr locked="0" defaultSize="0" autoFill="0" autoLine="0" autoPict="0">
                <anchor moveWithCells="1">
                  <from>
                    <xdr:col>6</xdr:col>
                    <xdr:colOff>88900</xdr:colOff>
                    <xdr:row>9</xdr:row>
                    <xdr:rowOff>63500</xdr:rowOff>
                  </from>
                  <to>
                    <xdr:col>6</xdr:col>
                    <xdr:colOff>285750</xdr:colOff>
                    <xdr:row>9</xdr:row>
                    <xdr:rowOff>279400</xdr:rowOff>
                  </to>
                </anchor>
              </controlPr>
            </control>
          </mc:Choice>
        </mc:AlternateContent>
        <mc:AlternateContent xmlns:mc="http://schemas.openxmlformats.org/markup-compatibility/2006">
          <mc:Choice Requires="x14">
            <control shapeId="1063" r:id="rId37" name="Check Box 39">
              <controlPr locked="0" defaultSize="0" autoFill="0" autoLine="0" autoPict="0">
                <anchor moveWithCells="1">
                  <from>
                    <xdr:col>7</xdr:col>
                    <xdr:colOff>88900</xdr:colOff>
                    <xdr:row>9</xdr:row>
                    <xdr:rowOff>63500</xdr:rowOff>
                  </from>
                  <to>
                    <xdr:col>7</xdr:col>
                    <xdr:colOff>285750</xdr:colOff>
                    <xdr:row>9</xdr:row>
                    <xdr:rowOff>279400</xdr:rowOff>
                  </to>
                </anchor>
              </controlPr>
            </control>
          </mc:Choice>
        </mc:AlternateContent>
        <mc:AlternateContent xmlns:mc="http://schemas.openxmlformats.org/markup-compatibility/2006">
          <mc:Choice Requires="x14">
            <control shapeId="1064" r:id="rId38" name="Check Box 40">
              <controlPr locked="0" defaultSize="0" autoFill="0" autoLine="0" autoPict="0">
                <anchor moveWithCells="1">
                  <from>
                    <xdr:col>8</xdr:col>
                    <xdr:colOff>88900</xdr:colOff>
                    <xdr:row>9</xdr:row>
                    <xdr:rowOff>63500</xdr:rowOff>
                  </from>
                  <to>
                    <xdr:col>8</xdr:col>
                    <xdr:colOff>285750</xdr:colOff>
                    <xdr:row>9</xdr:row>
                    <xdr:rowOff>279400</xdr:rowOff>
                  </to>
                </anchor>
              </controlPr>
            </control>
          </mc:Choice>
        </mc:AlternateContent>
        <mc:AlternateContent xmlns:mc="http://schemas.openxmlformats.org/markup-compatibility/2006">
          <mc:Choice Requires="x14">
            <control shapeId="1065" r:id="rId39" name="Check Box 41">
              <controlPr locked="0" defaultSize="0" autoFill="0" autoLine="0" autoPict="0">
                <anchor moveWithCells="1">
                  <from>
                    <xdr:col>2</xdr:col>
                    <xdr:colOff>88900</xdr:colOff>
                    <xdr:row>11</xdr:row>
                    <xdr:rowOff>63500</xdr:rowOff>
                  </from>
                  <to>
                    <xdr:col>2</xdr:col>
                    <xdr:colOff>285750</xdr:colOff>
                    <xdr:row>11</xdr:row>
                    <xdr:rowOff>279400</xdr:rowOff>
                  </to>
                </anchor>
              </controlPr>
            </control>
          </mc:Choice>
        </mc:AlternateContent>
        <mc:AlternateContent xmlns:mc="http://schemas.openxmlformats.org/markup-compatibility/2006">
          <mc:Choice Requires="x14">
            <control shapeId="1066" r:id="rId40" name="Check Box 42">
              <controlPr locked="0" defaultSize="0" autoFill="0" autoLine="0" autoPict="0">
                <anchor moveWithCells="1">
                  <from>
                    <xdr:col>3</xdr:col>
                    <xdr:colOff>88900</xdr:colOff>
                    <xdr:row>11</xdr:row>
                    <xdr:rowOff>63500</xdr:rowOff>
                  </from>
                  <to>
                    <xdr:col>3</xdr:col>
                    <xdr:colOff>285750</xdr:colOff>
                    <xdr:row>11</xdr:row>
                    <xdr:rowOff>279400</xdr:rowOff>
                  </to>
                </anchor>
              </controlPr>
            </control>
          </mc:Choice>
        </mc:AlternateContent>
        <mc:AlternateContent xmlns:mc="http://schemas.openxmlformats.org/markup-compatibility/2006">
          <mc:Choice Requires="x14">
            <control shapeId="1067" r:id="rId41" name="Check Box 43">
              <controlPr locked="0" defaultSize="0" autoFill="0" autoLine="0" autoPict="0">
                <anchor moveWithCells="1">
                  <from>
                    <xdr:col>4</xdr:col>
                    <xdr:colOff>88900</xdr:colOff>
                    <xdr:row>11</xdr:row>
                    <xdr:rowOff>63500</xdr:rowOff>
                  </from>
                  <to>
                    <xdr:col>4</xdr:col>
                    <xdr:colOff>285750</xdr:colOff>
                    <xdr:row>11</xdr:row>
                    <xdr:rowOff>279400</xdr:rowOff>
                  </to>
                </anchor>
              </controlPr>
            </control>
          </mc:Choice>
        </mc:AlternateContent>
        <mc:AlternateContent xmlns:mc="http://schemas.openxmlformats.org/markup-compatibility/2006">
          <mc:Choice Requires="x14">
            <control shapeId="1068" r:id="rId42" name="Check Box 44">
              <controlPr locked="0" defaultSize="0" autoFill="0" autoLine="0" autoPict="0">
                <anchor moveWithCells="1">
                  <from>
                    <xdr:col>5</xdr:col>
                    <xdr:colOff>88900</xdr:colOff>
                    <xdr:row>11</xdr:row>
                    <xdr:rowOff>63500</xdr:rowOff>
                  </from>
                  <to>
                    <xdr:col>5</xdr:col>
                    <xdr:colOff>285750</xdr:colOff>
                    <xdr:row>11</xdr:row>
                    <xdr:rowOff>279400</xdr:rowOff>
                  </to>
                </anchor>
              </controlPr>
            </control>
          </mc:Choice>
        </mc:AlternateContent>
        <mc:AlternateContent xmlns:mc="http://schemas.openxmlformats.org/markup-compatibility/2006">
          <mc:Choice Requires="x14">
            <control shapeId="1069" r:id="rId43" name="Check Box 45">
              <controlPr locked="0" defaultSize="0" autoFill="0" autoLine="0" autoPict="0">
                <anchor moveWithCells="1">
                  <from>
                    <xdr:col>6</xdr:col>
                    <xdr:colOff>88900</xdr:colOff>
                    <xdr:row>11</xdr:row>
                    <xdr:rowOff>63500</xdr:rowOff>
                  </from>
                  <to>
                    <xdr:col>6</xdr:col>
                    <xdr:colOff>285750</xdr:colOff>
                    <xdr:row>11</xdr:row>
                    <xdr:rowOff>279400</xdr:rowOff>
                  </to>
                </anchor>
              </controlPr>
            </control>
          </mc:Choice>
        </mc:AlternateContent>
        <mc:AlternateContent xmlns:mc="http://schemas.openxmlformats.org/markup-compatibility/2006">
          <mc:Choice Requires="x14">
            <control shapeId="1070" r:id="rId44" name="Check Box 46">
              <controlPr locked="0" defaultSize="0" autoFill="0" autoLine="0" autoPict="0">
                <anchor moveWithCells="1">
                  <from>
                    <xdr:col>7</xdr:col>
                    <xdr:colOff>88900</xdr:colOff>
                    <xdr:row>11</xdr:row>
                    <xdr:rowOff>63500</xdr:rowOff>
                  </from>
                  <to>
                    <xdr:col>7</xdr:col>
                    <xdr:colOff>285750</xdr:colOff>
                    <xdr:row>11</xdr:row>
                    <xdr:rowOff>279400</xdr:rowOff>
                  </to>
                </anchor>
              </controlPr>
            </control>
          </mc:Choice>
        </mc:AlternateContent>
        <mc:AlternateContent xmlns:mc="http://schemas.openxmlformats.org/markup-compatibility/2006">
          <mc:Choice Requires="x14">
            <control shapeId="1071" r:id="rId45" name="Check Box 47">
              <controlPr locked="0" defaultSize="0" autoFill="0" autoLine="0" autoPict="0">
                <anchor moveWithCells="1">
                  <from>
                    <xdr:col>8</xdr:col>
                    <xdr:colOff>88900</xdr:colOff>
                    <xdr:row>11</xdr:row>
                    <xdr:rowOff>63500</xdr:rowOff>
                  </from>
                  <to>
                    <xdr:col>8</xdr:col>
                    <xdr:colOff>285750</xdr:colOff>
                    <xdr:row>11</xdr:row>
                    <xdr:rowOff>279400</xdr:rowOff>
                  </to>
                </anchor>
              </controlPr>
            </control>
          </mc:Choice>
        </mc:AlternateContent>
        <mc:AlternateContent xmlns:mc="http://schemas.openxmlformats.org/markup-compatibility/2006">
          <mc:Choice Requires="x14">
            <control shapeId="1072" r:id="rId46" name="Check Box 48">
              <controlPr locked="0" defaultSize="0" autoFill="0" autoLine="0" autoPict="0">
                <anchor moveWithCells="1">
                  <from>
                    <xdr:col>2</xdr:col>
                    <xdr:colOff>88900</xdr:colOff>
                    <xdr:row>12</xdr:row>
                    <xdr:rowOff>63500</xdr:rowOff>
                  </from>
                  <to>
                    <xdr:col>2</xdr:col>
                    <xdr:colOff>285750</xdr:colOff>
                    <xdr:row>12</xdr:row>
                    <xdr:rowOff>279400</xdr:rowOff>
                  </to>
                </anchor>
              </controlPr>
            </control>
          </mc:Choice>
        </mc:AlternateContent>
        <mc:AlternateContent xmlns:mc="http://schemas.openxmlformats.org/markup-compatibility/2006">
          <mc:Choice Requires="x14">
            <control shapeId="1073" r:id="rId47" name="Check Box 49">
              <controlPr locked="0" defaultSize="0" autoFill="0" autoLine="0" autoPict="0">
                <anchor moveWithCells="1">
                  <from>
                    <xdr:col>3</xdr:col>
                    <xdr:colOff>88900</xdr:colOff>
                    <xdr:row>12</xdr:row>
                    <xdr:rowOff>63500</xdr:rowOff>
                  </from>
                  <to>
                    <xdr:col>3</xdr:col>
                    <xdr:colOff>285750</xdr:colOff>
                    <xdr:row>12</xdr:row>
                    <xdr:rowOff>279400</xdr:rowOff>
                  </to>
                </anchor>
              </controlPr>
            </control>
          </mc:Choice>
        </mc:AlternateContent>
        <mc:AlternateContent xmlns:mc="http://schemas.openxmlformats.org/markup-compatibility/2006">
          <mc:Choice Requires="x14">
            <control shapeId="1074" r:id="rId48" name="Check Box 50">
              <controlPr locked="0" defaultSize="0" autoFill="0" autoLine="0" autoPict="0">
                <anchor moveWithCells="1">
                  <from>
                    <xdr:col>4</xdr:col>
                    <xdr:colOff>88900</xdr:colOff>
                    <xdr:row>12</xdr:row>
                    <xdr:rowOff>63500</xdr:rowOff>
                  </from>
                  <to>
                    <xdr:col>4</xdr:col>
                    <xdr:colOff>285750</xdr:colOff>
                    <xdr:row>12</xdr:row>
                    <xdr:rowOff>279400</xdr:rowOff>
                  </to>
                </anchor>
              </controlPr>
            </control>
          </mc:Choice>
        </mc:AlternateContent>
        <mc:AlternateContent xmlns:mc="http://schemas.openxmlformats.org/markup-compatibility/2006">
          <mc:Choice Requires="x14">
            <control shapeId="1075" r:id="rId49" name="Check Box 51">
              <controlPr locked="0" defaultSize="0" autoFill="0" autoLine="0" autoPict="0">
                <anchor moveWithCells="1">
                  <from>
                    <xdr:col>5</xdr:col>
                    <xdr:colOff>88900</xdr:colOff>
                    <xdr:row>12</xdr:row>
                    <xdr:rowOff>63500</xdr:rowOff>
                  </from>
                  <to>
                    <xdr:col>5</xdr:col>
                    <xdr:colOff>285750</xdr:colOff>
                    <xdr:row>12</xdr:row>
                    <xdr:rowOff>279400</xdr:rowOff>
                  </to>
                </anchor>
              </controlPr>
            </control>
          </mc:Choice>
        </mc:AlternateContent>
        <mc:AlternateContent xmlns:mc="http://schemas.openxmlformats.org/markup-compatibility/2006">
          <mc:Choice Requires="x14">
            <control shapeId="1076" r:id="rId50" name="Check Box 52">
              <controlPr locked="0" defaultSize="0" autoFill="0" autoLine="0" autoPict="0">
                <anchor moveWithCells="1">
                  <from>
                    <xdr:col>6</xdr:col>
                    <xdr:colOff>88900</xdr:colOff>
                    <xdr:row>12</xdr:row>
                    <xdr:rowOff>63500</xdr:rowOff>
                  </from>
                  <to>
                    <xdr:col>6</xdr:col>
                    <xdr:colOff>285750</xdr:colOff>
                    <xdr:row>12</xdr:row>
                    <xdr:rowOff>279400</xdr:rowOff>
                  </to>
                </anchor>
              </controlPr>
            </control>
          </mc:Choice>
        </mc:AlternateContent>
        <mc:AlternateContent xmlns:mc="http://schemas.openxmlformats.org/markup-compatibility/2006">
          <mc:Choice Requires="x14">
            <control shapeId="1077" r:id="rId51" name="Check Box 53">
              <controlPr locked="0" defaultSize="0" autoFill="0" autoLine="0" autoPict="0">
                <anchor moveWithCells="1">
                  <from>
                    <xdr:col>7</xdr:col>
                    <xdr:colOff>88900</xdr:colOff>
                    <xdr:row>12</xdr:row>
                    <xdr:rowOff>63500</xdr:rowOff>
                  </from>
                  <to>
                    <xdr:col>7</xdr:col>
                    <xdr:colOff>285750</xdr:colOff>
                    <xdr:row>12</xdr:row>
                    <xdr:rowOff>279400</xdr:rowOff>
                  </to>
                </anchor>
              </controlPr>
            </control>
          </mc:Choice>
        </mc:AlternateContent>
        <mc:AlternateContent xmlns:mc="http://schemas.openxmlformats.org/markup-compatibility/2006">
          <mc:Choice Requires="x14">
            <control shapeId="1078" r:id="rId52" name="Check Box 54">
              <controlPr locked="0" defaultSize="0" autoFill="0" autoLine="0" autoPict="0">
                <anchor moveWithCells="1">
                  <from>
                    <xdr:col>8</xdr:col>
                    <xdr:colOff>88900</xdr:colOff>
                    <xdr:row>12</xdr:row>
                    <xdr:rowOff>63500</xdr:rowOff>
                  </from>
                  <to>
                    <xdr:col>8</xdr:col>
                    <xdr:colOff>285750</xdr:colOff>
                    <xdr:row>12</xdr:row>
                    <xdr:rowOff>279400</xdr:rowOff>
                  </to>
                </anchor>
              </controlPr>
            </control>
          </mc:Choice>
        </mc:AlternateContent>
        <mc:AlternateContent xmlns:mc="http://schemas.openxmlformats.org/markup-compatibility/2006">
          <mc:Choice Requires="x14">
            <control shapeId="1079" r:id="rId53" name="Check Box 55">
              <controlPr locked="0" defaultSize="0" autoFill="0" autoLine="0" autoPict="0">
                <anchor moveWithCells="1">
                  <from>
                    <xdr:col>2</xdr:col>
                    <xdr:colOff>88900</xdr:colOff>
                    <xdr:row>13</xdr:row>
                    <xdr:rowOff>63500</xdr:rowOff>
                  </from>
                  <to>
                    <xdr:col>2</xdr:col>
                    <xdr:colOff>285750</xdr:colOff>
                    <xdr:row>13</xdr:row>
                    <xdr:rowOff>279400</xdr:rowOff>
                  </to>
                </anchor>
              </controlPr>
            </control>
          </mc:Choice>
        </mc:AlternateContent>
        <mc:AlternateContent xmlns:mc="http://schemas.openxmlformats.org/markup-compatibility/2006">
          <mc:Choice Requires="x14">
            <control shapeId="1080" r:id="rId54" name="Check Box 56">
              <controlPr locked="0" defaultSize="0" autoFill="0" autoLine="0" autoPict="0">
                <anchor moveWithCells="1">
                  <from>
                    <xdr:col>3</xdr:col>
                    <xdr:colOff>88900</xdr:colOff>
                    <xdr:row>13</xdr:row>
                    <xdr:rowOff>63500</xdr:rowOff>
                  </from>
                  <to>
                    <xdr:col>3</xdr:col>
                    <xdr:colOff>285750</xdr:colOff>
                    <xdr:row>13</xdr:row>
                    <xdr:rowOff>279400</xdr:rowOff>
                  </to>
                </anchor>
              </controlPr>
            </control>
          </mc:Choice>
        </mc:AlternateContent>
        <mc:AlternateContent xmlns:mc="http://schemas.openxmlformats.org/markup-compatibility/2006">
          <mc:Choice Requires="x14">
            <control shapeId="1081" r:id="rId55" name="Check Box 57">
              <controlPr locked="0" defaultSize="0" autoFill="0" autoLine="0" autoPict="0">
                <anchor moveWithCells="1">
                  <from>
                    <xdr:col>4</xdr:col>
                    <xdr:colOff>88900</xdr:colOff>
                    <xdr:row>13</xdr:row>
                    <xdr:rowOff>63500</xdr:rowOff>
                  </from>
                  <to>
                    <xdr:col>4</xdr:col>
                    <xdr:colOff>285750</xdr:colOff>
                    <xdr:row>13</xdr:row>
                    <xdr:rowOff>279400</xdr:rowOff>
                  </to>
                </anchor>
              </controlPr>
            </control>
          </mc:Choice>
        </mc:AlternateContent>
        <mc:AlternateContent xmlns:mc="http://schemas.openxmlformats.org/markup-compatibility/2006">
          <mc:Choice Requires="x14">
            <control shapeId="1082" r:id="rId56" name="Check Box 58">
              <controlPr locked="0" defaultSize="0" autoFill="0" autoLine="0" autoPict="0">
                <anchor moveWithCells="1">
                  <from>
                    <xdr:col>5</xdr:col>
                    <xdr:colOff>88900</xdr:colOff>
                    <xdr:row>13</xdr:row>
                    <xdr:rowOff>63500</xdr:rowOff>
                  </from>
                  <to>
                    <xdr:col>5</xdr:col>
                    <xdr:colOff>285750</xdr:colOff>
                    <xdr:row>13</xdr:row>
                    <xdr:rowOff>279400</xdr:rowOff>
                  </to>
                </anchor>
              </controlPr>
            </control>
          </mc:Choice>
        </mc:AlternateContent>
        <mc:AlternateContent xmlns:mc="http://schemas.openxmlformats.org/markup-compatibility/2006">
          <mc:Choice Requires="x14">
            <control shapeId="1083" r:id="rId57" name="Check Box 59">
              <controlPr locked="0" defaultSize="0" autoFill="0" autoLine="0" autoPict="0">
                <anchor moveWithCells="1">
                  <from>
                    <xdr:col>6</xdr:col>
                    <xdr:colOff>88900</xdr:colOff>
                    <xdr:row>13</xdr:row>
                    <xdr:rowOff>63500</xdr:rowOff>
                  </from>
                  <to>
                    <xdr:col>6</xdr:col>
                    <xdr:colOff>285750</xdr:colOff>
                    <xdr:row>13</xdr:row>
                    <xdr:rowOff>279400</xdr:rowOff>
                  </to>
                </anchor>
              </controlPr>
            </control>
          </mc:Choice>
        </mc:AlternateContent>
        <mc:AlternateContent xmlns:mc="http://schemas.openxmlformats.org/markup-compatibility/2006">
          <mc:Choice Requires="x14">
            <control shapeId="1084" r:id="rId58" name="Check Box 60">
              <controlPr locked="0" defaultSize="0" autoFill="0" autoLine="0" autoPict="0">
                <anchor moveWithCells="1">
                  <from>
                    <xdr:col>7</xdr:col>
                    <xdr:colOff>88900</xdr:colOff>
                    <xdr:row>13</xdr:row>
                    <xdr:rowOff>63500</xdr:rowOff>
                  </from>
                  <to>
                    <xdr:col>7</xdr:col>
                    <xdr:colOff>285750</xdr:colOff>
                    <xdr:row>13</xdr:row>
                    <xdr:rowOff>279400</xdr:rowOff>
                  </to>
                </anchor>
              </controlPr>
            </control>
          </mc:Choice>
        </mc:AlternateContent>
        <mc:AlternateContent xmlns:mc="http://schemas.openxmlformats.org/markup-compatibility/2006">
          <mc:Choice Requires="x14">
            <control shapeId="1085" r:id="rId59" name="Check Box 61">
              <controlPr locked="0" defaultSize="0" autoFill="0" autoLine="0" autoPict="0">
                <anchor moveWithCells="1">
                  <from>
                    <xdr:col>8</xdr:col>
                    <xdr:colOff>88900</xdr:colOff>
                    <xdr:row>13</xdr:row>
                    <xdr:rowOff>63500</xdr:rowOff>
                  </from>
                  <to>
                    <xdr:col>8</xdr:col>
                    <xdr:colOff>285750</xdr:colOff>
                    <xdr:row>13</xdr:row>
                    <xdr:rowOff>279400</xdr:rowOff>
                  </to>
                </anchor>
              </controlPr>
            </control>
          </mc:Choice>
        </mc:AlternateContent>
        <mc:AlternateContent xmlns:mc="http://schemas.openxmlformats.org/markup-compatibility/2006">
          <mc:Choice Requires="x14">
            <control shapeId="1086" r:id="rId60" name="Check Box 62">
              <controlPr locked="0" defaultSize="0" autoFill="0" autoLine="0" autoPict="0">
                <anchor moveWithCells="1">
                  <from>
                    <xdr:col>2</xdr:col>
                    <xdr:colOff>88900</xdr:colOff>
                    <xdr:row>14</xdr:row>
                    <xdr:rowOff>63500</xdr:rowOff>
                  </from>
                  <to>
                    <xdr:col>2</xdr:col>
                    <xdr:colOff>285750</xdr:colOff>
                    <xdr:row>14</xdr:row>
                    <xdr:rowOff>279400</xdr:rowOff>
                  </to>
                </anchor>
              </controlPr>
            </control>
          </mc:Choice>
        </mc:AlternateContent>
        <mc:AlternateContent xmlns:mc="http://schemas.openxmlformats.org/markup-compatibility/2006">
          <mc:Choice Requires="x14">
            <control shapeId="1087" r:id="rId61" name="Check Box 63">
              <controlPr locked="0" defaultSize="0" autoFill="0" autoLine="0" autoPict="0">
                <anchor moveWithCells="1">
                  <from>
                    <xdr:col>3</xdr:col>
                    <xdr:colOff>88900</xdr:colOff>
                    <xdr:row>14</xdr:row>
                    <xdr:rowOff>63500</xdr:rowOff>
                  </from>
                  <to>
                    <xdr:col>3</xdr:col>
                    <xdr:colOff>285750</xdr:colOff>
                    <xdr:row>14</xdr:row>
                    <xdr:rowOff>279400</xdr:rowOff>
                  </to>
                </anchor>
              </controlPr>
            </control>
          </mc:Choice>
        </mc:AlternateContent>
        <mc:AlternateContent xmlns:mc="http://schemas.openxmlformats.org/markup-compatibility/2006">
          <mc:Choice Requires="x14">
            <control shapeId="1088" r:id="rId62" name="Check Box 64">
              <controlPr locked="0" defaultSize="0" autoFill="0" autoLine="0" autoPict="0">
                <anchor moveWithCells="1">
                  <from>
                    <xdr:col>4</xdr:col>
                    <xdr:colOff>88900</xdr:colOff>
                    <xdr:row>14</xdr:row>
                    <xdr:rowOff>63500</xdr:rowOff>
                  </from>
                  <to>
                    <xdr:col>4</xdr:col>
                    <xdr:colOff>285750</xdr:colOff>
                    <xdr:row>14</xdr:row>
                    <xdr:rowOff>279400</xdr:rowOff>
                  </to>
                </anchor>
              </controlPr>
            </control>
          </mc:Choice>
        </mc:AlternateContent>
        <mc:AlternateContent xmlns:mc="http://schemas.openxmlformats.org/markup-compatibility/2006">
          <mc:Choice Requires="x14">
            <control shapeId="1089" r:id="rId63" name="Check Box 65">
              <controlPr locked="0" defaultSize="0" autoFill="0" autoLine="0" autoPict="0">
                <anchor moveWithCells="1">
                  <from>
                    <xdr:col>5</xdr:col>
                    <xdr:colOff>88900</xdr:colOff>
                    <xdr:row>14</xdr:row>
                    <xdr:rowOff>63500</xdr:rowOff>
                  </from>
                  <to>
                    <xdr:col>5</xdr:col>
                    <xdr:colOff>285750</xdr:colOff>
                    <xdr:row>14</xdr:row>
                    <xdr:rowOff>279400</xdr:rowOff>
                  </to>
                </anchor>
              </controlPr>
            </control>
          </mc:Choice>
        </mc:AlternateContent>
        <mc:AlternateContent xmlns:mc="http://schemas.openxmlformats.org/markup-compatibility/2006">
          <mc:Choice Requires="x14">
            <control shapeId="1090" r:id="rId64" name="Check Box 66">
              <controlPr locked="0" defaultSize="0" autoFill="0" autoLine="0" autoPict="0">
                <anchor moveWithCells="1">
                  <from>
                    <xdr:col>6</xdr:col>
                    <xdr:colOff>88900</xdr:colOff>
                    <xdr:row>14</xdr:row>
                    <xdr:rowOff>63500</xdr:rowOff>
                  </from>
                  <to>
                    <xdr:col>6</xdr:col>
                    <xdr:colOff>285750</xdr:colOff>
                    <xdr:row>14</xdr:row>
                    <xdr:rowOff>279400</xdr:rowOff>
                  </to>
                </anchor>
              </controlPr>
            </control>
          </mc:Choice>
        </mc:AlternateContent>
        <mc:AlternateContent xmlns:mc="http://schemas.openxmlformats.org/markup-compatibility/2006">
          <mc:Choice Requires="x14">
            <control shapeId="1091" r:id="rId65" name="Check Box 67">
              <controlPr locked="0" defaultSize="0" autoFill="0" autoLine="0" autoPict="0">
                <anchor moveWithCells="1">
                  <from>
                    <xdr:col>7</xdr:col>
                    <xdr:colOff>88900</xdr:colOff>
                    <xdr:row>14</xdr:row>
                    <xdr:rowOff>63500</xdr:rowOff>
                  </from>
                  <to>
                    <xdr:col>7</xdr:col>
                    <xdr:colOff>285750</xdr:colOff>
                    <xdr:row>14</xdr:row>
                    <xdr:rowOff>279400</xdr:rowOff>
                  </to>
                </anchor>
              </controlPr>
            </control>
          </mc:Choice>
        </mc:AlternateContent>
        <mc:AlternateContent xmlns:mc="http://schemas.openxmlformats.org/markup-compatibility/2006">
          <mc:Choice Requires="x14">
            <control shapeId="1092" r:id="rId66" name="Check Box 68">
              <controlPr locked="0" defaultSize="0" autoFill="0" autoLine="0" autoPict="0">
                <anchor moveWithCells="1">
                  <from>
                    <xdr:col>8</xdr:col>
                    <xdr:colOff>88900</xdr:colOff>
                    <xdr:row>14</xdr:row>
                    <xdr:rowOff>63500</xdr:rowOff>
                  </from>
                  <to>
                    <xdr:col>8</xdr:col>
                    <xdr:colOff>285750</xdr:colOff>
                    <xdr:row>14</xdr:row>
                    <xdr:rowOff>279400</xdr:rowOff>
                  </to>
                </anchor>
              </controlPr>
            </control>
          </mc:Choice>
        </mc:AlternateContent>
        <mc:AlternateContent xmlns:mc="http://schemas.openxmlformats.org/markup-compatibility/2006">
          <mc:Choice Requires="x14">
            <control shapeId="1093" r:id="rId67" name="Check Box 69">
              <controlPr locked="0" defaultSize="0" autoFill="0" autoLine="0" autoPict="0">
                <anchor moveWithCells="1">
                  <from>
                    <xdr:col>2</xdr:col>
                    <xdr:colOff>88900</xdr:colOff>
                    <xdr:row>15</xdr:row>
                    <xdr:rowOff>63500</xdr:rowOff>
                  </from>
                  <to>
                    <xdr:col>2</xdr:col>
                    <xdr:colOff>285750</xdr:colOff>
                    <xdr:row>15</xdr:row>
                    <xdr:rowOff>279400</xdr:rowOff>
                  </to>
                </anchor>
              </controlPr>
            </control>
          </mc:Choice>
        </mc:AlternateContent>
        <mc:AlternateContent xmlns:mc="http://schemas.openxmlformats.org/markup-compatibility/2006">
          <mc:Choice Requires="x14">
            <control shapeId="1094" r:id="rId68" name="Check Box 70">
              <controlPr locked="0" defaultSize="0" autoFill="0" autoLine="0" autoPict="0">
                <anchor moveWithCells="1">
                  <from>
                    <xdr:col>3</xdr:col>
                    <xdr:colOff>88900</xdr:colOff>
                    <xdr:row>15</xdr:row>
                    <xdr:rowOff>63500</xdr:rowOff>
                  </from>
                  <to>
                    <xdr:col>3</xdr:col>
                    <xdr:colOff>285750</xdr:colOff>
                    <xdr:row>15</xdr:row>
                    <xdr:rowOff>279400</xdr:rowOff>
                  </to>
                </anchor>
              </controlPr>
            </control>
          </mc:Choice>
        </mc:AlternateContent>
        <mc:AlternateContent xmlns:mc="http://schemas.openxmlformats.org/markup-compatibility/2006">
          <mc:Choice Requires="x14">
            <control shapeId="1095" r:id="rId69" name="Check Box 71">
              <controlPr locked="0" defaultSize="0" autoFill="0" autoLine="0" autoPict="0">
                <anchor moveWithCells="1">
                  <from>
                    <xdr:col>4</xdr:col>
                    <xdr:colOff>88900</xdr:colOff>
                    <xdr:row>15</xdr:row>
                    <xdr:rowOff>63500</xdr:rowOff>
                  </from>
                  <to>
                    <xdr:col>4</xdr:col>
                    <xdr:colOff>285750</xdr:colOff>
                    <xdr:row>15</xdr:row>
                    <xdr:rowOff>279400</xdr:rowOff>
                  </to>
                </anchor>
              </controlPr>
            </control>
          </mc:Choice>
        </mc:AlternateContent>
        <mc:AlternateContent xmlns:mc="http://schemas.openxmlformats.org/markup-compatibility/2006">
          <mc:Choice Requires="x14">
            <control shapeId="1096" r:id="rId70" name="Check Box 72">
              <controlPr locked="0" defaultSize="0" autoFill="0" autoLine="0" autoPict="0">
                <anchor moveWithCells="1">
                  <from>
                    <xdr:col>5</xdr:col>
                    <xdr:colOff>88900</xdr:colOff>
                    <xdr:row>15</xdr:row>
                    <xdr:rowOff>63500</xdr:rowOff>
                  </from>
                  <to>
                    <xdr:col>5</xdr:col>
                    <xdr:colOff>285750</xdr:colOff>
                    <xdr:row>15</xdr:row>
                    <xdr:rowOff>279400</xdr:rowOff>
                  </to>
                </anchor>
              </controlPr>
            </control>
          </mc:Choice>
        </mc:AlternateContent>
        <mc:AlternateContent xmlns:mc="http://schemas.openxmlformats.org/markup-compatibility/2006">
          <mc:Choice Requires="x14">
            <control shapeId="1097" r:id="rId71" name="Check Box 73">
              <controlPr locked="0" defaultSize="0" autoFill="0" autoLine="0" autoPict="0">
                <anchor moveWithCells="1">
                  <from>
                    <xdr:col>6</xdr:col>
                    <xdr:colOff>88900</xdr:colOff>
                    <xdr:row>15</xdr:row>
                    <xdr:rowOff>63500</xdr:rowOff>
                  </from>
                  <to>
                    <xdr:col>6</xdr:col>
                    <xdr:colOff>285750</xdr:colOff>
                    <xdr:row>15</xdr:row>
                    <xdr:rowOff>279400</xdr:rowOff>
                  </to>
                </anchor>
              </controlPr>
            </control>
          </mc:Choice>
        </mc:AlternateContent>
        <mc:AlternateContent xmlns:mc="http://schemas.openxmlformats.org/markup-compatibility/2006">
          <mc:Choice Requires="x14">
            <control shapeId="1098" r:id="rId72" name="Check Box 74">
              <controlPr locked="0" defaultSize="0" autoFill="0" autoLine="0" autoPict="0">
                <anchor moveWithCells="1">
                  <from>
                    <xdr:col>7</xdr:col>
                    <xdr:colOff>88900</xdr:colOff>
                    <xdr:row>15</xdr:row>
                    <xdr:rowOff>63500</xdr:rowOff>
                  </from>
                  <to>
                    <xdr:col>7</xdr:col>
                    <xdr:colOff>285750</xdr:colOff>
                    <xdr:row>15</xdr:row>
                    <xdr:rowOff>279400</xdr:rowOff>
                  </to>
                </anchor>
              </controlPr>
            </control>
          </mc:Choice>
        </mc:AlternateContent>
        <mc:AlternateContent xmlns:mc="http://schemas.openxmlformats.org/markup-compatibility/2006">
          <mc:Choice Requires="x14">
            <control shapeId="1099" r:id="rId73" name="Check Box 75">
              <controlPr locked="0" defaultSize="0" autoFill="0" autoLine="0" autoPict="0">
                <anchor moveWithCells="1">
                  <from>
                    <xdr:col>8</xdr:col>
                    <xdr:colOff>88900</xdr:colOff>
                    <xdr:row>15</xdr:row>
                    <xdr:rowOff>63500</xdr:rowOff>
                  </from>
                  <to>
                    <xdr:col>8</xdr:col>
                    <xdr:colOff>285750</xdr:colOff>
                    <xdr:row>15</xdr:row>
                    <xdr:rowOff>279400</xdr:rowOff>
                  </to>
                </anchor>
              </controlPr>
            </control>
          </mc:Choice>
        </mc:AlternateContent>
        <mc:AlternateContent xmlns:mc="http://schemas.openxmlformats.org/markup-compatibility/2006">
          <mc:Choice Requires="x14">
            <control shapeId="1100" r:id="rId74" name="Check Box 76">
              <controlPr locked="0" defaultSize="0" autoFill="0" autoLine="0" autoPict="0">
                <anchor moveWithCells="1">
                  <from>
                    <xdr:col>2</xdr:col>
                    <xdr:colOff>88900</xdr:colOff>
                    <xdr:row>17</xdr:row>
                    <xdr:rowOff>63500</xdr:rowOff>
                  </from>
                  <to>
                    <xdr:col>2</xdr:col>
                    <xdr:colOff>285750</xdr:colOff>
                    <xdr:row>17</xdr:row>
                    <xdr:rowOff>279400</xdr:rowOff>
                  </to>
                </anchor>
              </controlPr>
            </control>
          </mc:Choice>
        </mc:AlternateContent>
        <mc:AlternateContent xmlns:mc="http://schemas.openxmlformats.org/markup-compatibility/2006">
          <mc:Choice Requires="x14">
            <control shapeId="1101" r:id="rId75" name="Check Box 77">
              <controlPr locked="0" defaultSize="0" autoFill="0" autoLine="0" autoPict="0">
                <anchor moveWithCells="1">
                  <from>
                    <xdr:col>3</xdr:col>
                    <xdr:colOff>88900</xdr:colOff>
                    <xdr:row>17</xdr:row>
                    <xdr:rowOff>63500</xdr:rowOff>
                  </from>
                  <to>
                    <xdr:col>3</xdr:col>
                    <xdr:colOff>285750</xdr:colOff>
                    <xdr:row>17</xdr:row>
                    <xdr:rowOff>279400</xdr:rowOff>
                  </to>
                </anchor>
              </controlPr>
            </control>
          </mc:Choice>
        </mc:AlternateContent>
        <mc:AlternateContent xmlns:mc="http://schemas.openxmlformats.org/markup-compatibility/2006">
          <mc:Choice Requires="x14">
            <control shapeId="1102" r:id="rId76" name="Check Box 78">
              <controlPr locked="0" defaultSize="0" autoFill="0" autoLine="0" autoPict="0">
                <anchor moveWithCells="1">
                  <from>
                    <xdr:col>4</xdr:col>
                    <xdr:colOff>88900</xdr:colOff>
                    <xdr:row>17</xdr:row>
                    <xdr:rowOff>63500</xdr:rowOff>
                  </from>
                  <to>
                    <xdr:col>4</xdr:col>
                    <xdr:colOff>285750</xdr:colOff>
                    <xdr:row>17</xdr:row>
                    <xdr:rowOff>279400</xdr:rowOff>
                  </to>
                </anchor>
              </controlPr>
            </control>
          </mc:Choice>
        </mc:AlternateContent>
        <mc:AlternateContent xmlns:mc="http://schemas.openxmlformats.org/markup-compatibility/2006">
          <mc:Choice Requires="x14">
            <control shapeId="1103" r:id="rId77" name="Check Box 79">
              <controlPr locked="0" defaultSize="0" autoFill="0" autoLine="0" autoPict="0">
                <anchor moveWithCells="1">
                  <from>
                    <xdr:col>5</xdr:col>
                    <xdr:colOff>88900</xdr:colOff>
                    <xdr:row>17</xdr:row>
                    <xdr:rowOff>63500</xdr:rowOff>
                  </from>
                  <to>
                    <xdr:col>5</xdr:col>
                    <xdr:colOff>285750</xdr:colOff>
                    <xdr:row>17</xdr:row>
                    <xdr:rowOff>279400</xdr:rowOff>
                  </to>
                </anchor>
              </controlPr>
            </control>
          </mc:Choice>
        </mc:AlternateContent>
        <mc:AlternateContent xmlns:mc="http://schemas.openxmlformats.org/markup-compatibility/2006">
          <mc:Choice Requires="x14">
            <control shapeId="1104" r:id="rId78" name="Check Box 80">
              <controlPr locked="0" defaultSize="0" autoFill="0" autoLine="0" autoPict="0">
                <anchor moveWithCells="1">
                  <from>
                    <xdr:col>6</xdr:col>
                    <xdr:colOff>88900</xdr:colOff>
                    <xdr:row>17</xdr:row>
                    <xdr:rowOff>63500</xdr:rowOff>
                  </from>
                  <to>
                    <xdr:col>6</xdr:col>
                    <xdr:colOff>285750</xdr:colOff>
                    <xdr:row>17</xdr:row>
                    <xdr:rowOff>279400</xdr:rowOff>
                  </to>
                </anchor>
              </controlPr>
            </control>
          </mc:Choice>
        </mc:AlternateContent>
        <mc:AlternateContent xmlns:mc="http://schemas.openxmlformats.org/markup-compatibility/2006">
          <mc:Choice Requires="x14">
            <control shapeId="1105" r:id="rId79" name="Check Box 81">
              <controlPr locked="0" defaultSize="0" autoFill="0" autoLine="0" autoPict="0">
                <anchor moveWithCells="1">
                  <from>
                    <xdr:col>7</xdr:col>
                    <xdr:colOff>88900</xdr:colOff>
                    <xdr:row>17</xdr:row>
                    <xdr:rowOff>63500</xdr:rowOff>
                  </from>
                  <to>
                    <xdr:col>7</xdr:col>
                    <xdr:colOff>285750</xdr:colOff>
                    <xdr:row>17</xdr:row>
                    <xdr:rowOff>279400</xdr:rowOff>
                  </to>
                </anchor>
              </controlPr>
            </control>
          </mc:Choice>
        </mc:AlternateContent>
        <mc:AlternateContent xmlns:mc="http://schemas.openxmlformats.org/markup-compatibility/2006">
          <mc:Choice Requires="x14">
            <control shapeId="1106" r:id="rId80" name="Check Box 82">
              <controlPr locked="0" defaultSize="0" autoFill="0" autoLine="0" autoPict="0">
                <anchor moveWithCells="1">
                  <from>
                    <xdr:col>8</xdr:col>
                    <xdr:colOff>88900</xdr:colOff>
                    <xdr:row>17</xdr:row>
                    <xdr:rowOff>63500</xdr:rowOff>
                  </from>
                  <to>
                    <xdr:col>8</xdr:col>
                    <xdr:colOff>285750</xdr:colOff>
                    <xdr:row>17</xdr:row>
                    <xdr:rowOff>279400</xdr:rowOff>
                  </to>
                </anchor>
              </controlPr>
            </control>
          </mc:Choice>
        </mc:AlternateContent>
        <mc:AlternateContent xmlns:mc="http://schemas.openxmlformats.org/markup-compatibility/2006">
          <mc:Choice Requires="x14">
            <control shapeId="1107" r:id="rId81" name="Check Box 83">
              <controlPr locked="0" defaultSize="0" autoFill="0" autoLine="0" autoPict="0">
                <anchor moveWithCells="1">
                  <from>
                    <xdr:col>2</xdr:col>
                    <xdr:colOff>88900</xdr:colOff>
                    <xdr:row>18</xdr:row>
                    <xdr:rowOff>63500</xdr:rowOff>
                  </from>
                  <to>
                    <xdr:col>2</xdr:col>
                    <xdr:colOff>285750</xdr:colOff>
                    <xdr:row>18</xdr:row>
                    <xdr:rowOff>279400</xdr:rowOff>
                  </to>
                </anchor>
              </controlPr>
            </control>
          </mc:Choice>
        </mc:AlternateContent>
        <mc:AlternateContent xmlns:mc="http://schemas.openxmlformats.org/markup-compatibility/2006">
          <mc:Choice Requires="x14">
            <control shapeId="1108" r:id="rId82" name="Check Box 84">
              <controlPr locked="0" defaultSize="0" autoFill="0" autoLine="0" autoPict="0">
                <anchor moveWithCells="1">
                  <from>
                    <xdr:col>3</xdr:col>
                    <xdr:colOff>88900</xdr:colOff>
                    <xdr:row>18</xdr:row>
                    <xdr:rowOff>63500</xdr:rowOff>
                  </from>
                  <to>
                    <xdr:col>3</xdr:col>
                    <xdr:colOff>285750</xdr:colOff>
                    <xdr:row>18</xdr:row>
                    <xdr:rowOff>279400</xdr:rowOff>
                  </to>
                </anchor>
              </controlPr>
            </control>
          </mc:Choice>
        </mc:AlternateContent>
        <mc:AlternateContent xmlns:mc="http://schemas.openxmlformats.org/markup-compatibility/2006">
          <mc:Choice Requires="x14">
            <control shapeId="1109" r:id="rId83" name="Check Box 85">
              <controlPr locked="0" defaultSize="0" autoFill="0" autoLine="0" autoPict="0">
                <anchor moveWithCells="1">
                  <from>
                    <xdr:col>4</xdr:col>
                    <xdr:colOff>88900</xdr:colOff>
                    <xdr:row>18</xdr:row>
                    <xdr:rowOff>63500</xdr:rowOff>
                  </from>
                  <to>
                    <xdr:col>4</xdr:col>
                    <xdr:colOff>285750</xdr:colOff>
                    <xdr:row>18</xdr:row>
                    <xdr:rowOff>279400</xdr:rowOff>
                  </to>
                </anchor>
              </controlPr>
            </control>
          </mc:Choice>
        </mc:AlternateContent>
        <mc:AlternateContent xmlns:mc="http://schemas.openxmlformats.org/markup-compatibility/2006">
          <mc:Choice Requires="x14">
            <control shapeId="1110" r:id="rId84" name="Check Box 86">
              <controlPr locked="0" defaultSize="0" autoFill="0" autoLine="0" autoPict="0">
                <anchor moveWithCells="1">
                  <from>
                    <xdr:col>5</xdr:col>
                    <xdr:colOff>88900</xdr:colOff>
                    <xdr:row>18</xdr:row>
                    <xdr:rowOff>63500</xdr:rowOff>
                  </from>
                  <to>
                    <xdr:col>5</xdr:col>
                    <xdr:colOff>285750</xdr:colOff>
                    <xdr:row>18</xdr:row>
                    <xdr:rowOff>279400</xdr:rowOff>
                  </to>
                </anchor>
              </controlPr>
            </control>
          </mc:Choice>
        </mc:AlternateContent>
        <mc:AlternateContent xmlns:mc="http://schemas.openxmlformats.org/markup-compatibility/2006">
          <mc:Choice Requires="x14">
            <control shapeId="1111" r:id="rId85" name="Check Box 87">
              <controlPr locked="0" defaultSize="0" autoFill="0" autoLine="0" autoPict="0">
                <anchor moveWithCells="1">
                  <from>
                    <xdr:col>6</xdr:col>
                    <xdr:colOff>88900</xdr:colOff>
                    <xdr:row>18</xdr:row>
                    <xdr:rowOff>63500</xdr:rowOff>
                  </from>
                  <to>
                    <xdr:col>6</xdr:col>
                    <xdr:colOff>285750</xdr:colOff>
                    <xdr:row>18</xdr:row>
                    <xdr:rowOff>279400</xdr:rowOff>
                  </to>
                </anchor>
              </controlPr>
            </control>
          </mc:Choice>
        </mc:AlternateContent>
        <mc:AlternateContent xmlns:mc="http://schemas.openxmlformats.org/markup-compatibility/2006">
          <mc:Choice Requires="x14">
            <control shapeId="1112" r:id="rId86" name="Check Box 88">
              <controlPr locked="0" defaultSize="0" autoFill="0" autoLine="0" autoPict="0">
                <anchor moveWithCells="1">
                  <from>
                    <xdr:col>7</xdr:col>
                    <xdr:colOff>88900</xdr:colOff>
                    <xdr:row>18</xdr:row>
                    <xdr:rowOff>63500</xdr:rowOff>
                  </from>
                  <to>
                    <xdr:col>7</xdr:col>
                    <xdr:colOff>285750</xdr:colOff>
                    <xdr:row>18</xdr:row>
                    <xdr:rowOff>279400</xdr:rowOff>
                  </to>
                </anchor>
              </controlPr>
            </control>
          </mc:Choice>
        </mc:AlternateContent>
        <mc:AlternateContent xmlns:mc="http://schemas.openxmlformats.org/markup-compatibility/2006">
          <mc:Choice Requires="x14">
            <control shapeId="1113" r:id="rId87" name="Check Box 89">
              <controlPr locked="0" defaultSize="0" autoFill="0" autoLine="0" autoPict="0">
                <anchor moveWithCells="1">
                  <from>
                    <xdr:col>8</xdr:col>
                    <xdr:colOff>88900</xdr:colOff>
                    <xdr:row>18</xdr:row>
                    <xdr:rowOff>63500</xdr:rowOff>
                  </from>
                  <to>
                    <xdr:col>8</xdr:col>
                    <xdr:colOff>285750</xdr:colOff>
                    <xdr:row>18</xdr:row>
                    <xdr:rowOff>279400</xdr:rowOff>
                  </to>
                </anchor>
              </controlPr>
            </control>
          </mc:Choice>
        </mc:AlternateContent>
        <mc:AlternateContent xmlns:mc="http://schemas.openxmlformats.org/markup-compatibility/2006">
          <mc:Choice Requires="x14">
            <control shapeId="1114" r:id="rId88" name="Check Box 90">
              <controlPr locked="0" defaultSize="0" autoFill="0" autoLine="0" autoPict="0">
                <anchor moveWithCells="1">
                  <from>
                    <xdr:col>2</xdr:col>
                    <xdr:colOff>88900</xdr:colOff>
                    <xdr:row>19</xdr:row>
                    <xdr:rowOff>63500</xdr:rowOff>
                  </from>
                  <to>
                    <xdr:col>2</xdr:col>
                    <xdr:colOff>285750</xdr:colOff>
                    <xdr:row>19</xdr:row>
                    <xdr:rowOff>279400</xdr:rowOff>
                  </to>
                </anchor>
              </controlPr>
            </control>
          </mc:Choice>
        </mc:AlternateContent>
        <mc:AlternateContent xmlns:mc="http://schemas.openxmlformats.org/markup-compatibility/2006">
          <mc:Choice Requires="x14">
            <control shapeId="1115" r:id="rId89" name="Check Box 91">
              <controlPr locked="0" defaultSize="0" autoFill="0" autoLine="0" autoPict="0">
                <anchor moveWithCells="1">
                  <from>
                    <xdr:col>3</xdr:col>
                    <xdr:colOff>88900</xdr:colOff>
                    <xdr:row>19</xdr:row>
                    <xdr:rowOff>63500</xdr:rowOff>
                  </from>
                  <to>
                    <xdr:col>3</xdr:col>
                    <xdr:colOff>285750</xdr:colOff>
                    <xdr:row>19</xdr:row>
                    <xdr:rowOff>279400</xdr:rowOff>
                  </to>
                </anchor>
              </controlPr>
            </control>
          </mc:Choice>
        </mc:AlternateContent>
        <mc:AlternateContent xmlns:mc="http://schemas.openxmlformats.org/markup-compatibility/2006">
          <mc:Choice Requires="x14">
            <control shapeId="1116" r:id="rId90" name="Check Box 92">
              <controlPr locked="0" defaultSize="0" autoFill="0" autoLine="0" autoPict="0">
                <anchor moveWithCells="1">
                  <from>
                    <xdr:col>4</xdr:col>
                    <xdr:colOff>88900</xdr:colOff>
                    <xdr:row>19</xdr:row>
                    <xdr:rowOff>63500</xdr:rowOff>
                  </from>
                  <to>
                    <xdr:col>4</xdr:col>
                    <xdr:colOff>285750</xdr:colOff>
                    <xdr:row>19</xdr:row>
                    <xdr:rowOff>279400</xdr:rowOff>
                  </to>
                </anchor>
              </controlPr>
            </control>
          </mc:Choice>
        </mc:AlternateContent>
        <mc:AlternateContent xmlns:mc="http://schemas.openxmlformats.org/markup-compatibility/2006">
          <mc:Choice Requires="x14">
            <control shapeId="1117" r:id="rId91" name="Check Box 93">
              <controlPr locked="0" defaultSize="0" autoFill="0" autoLine="0" autoPict="0">
                <anchor moveWithCells="1">
                  <from>
                    <xdr:col>5</xdr:col>
                    <xdr:colOff>88900</xdr:colOff>
                    <xdr:row>19</xdr:row>
                    <xdr:rowOff>63500</xdr:rowOff>
                  </from>
                  <to>
                    <xdr:col>5</xdr:col>
                    <xdr:colOff>285750</xdr:colOff>
                    <xdr:row>19</xdr:row>
                    <xdr:rowOff>279400</xdr:rowOff>
                  </to>
                </anchor>
              </controlPr>
            </control>
          </mc:Choice>
        </mc:AlternateContent>
        <mc:AlternateContent xmlns:mc="http://schemas.openxmlformats.org/markup-compatibility/2006">
          <mc:Choice Requires="x14">
            <control shapeId="1118" r:id="rId92" name="Check Box 94">
              <controlPr locked="0" defaultSize="0" autoFill="0" autoLine="0" autoPict="0">
                <anchor moveWithCells="1">
                  <from>
                    <xdr:col>6</xdr:col>
                    <xdr:colOff>88900</xdr:colOff>
                    <xdr:row>19</xdr:row>
                    <xdr:rowOff>63500</xdr:rowOff>
                  </from>
                  <to>
                    <xdr:col>6</xdr:col>
                    <xdr:colOff>285750</xdr:colOff>
                    <xdr:row>19</xdr:row>
                    <xdr:rowOff>279400</xdr:rowOff>
                  </to>
                </anchor>
              </controlPr>
            </control>
          </mc:Choice>
        </mc:AlternateContent>
        <mc:AlternateContent xmlns:mc="http://schemas.openxmlformats.org/markup-compatibility/2006">
          <mc:Choice Requires="x14">
            <control shapeId="1119" r:id="rId93" name="Check Box 95">
              <controlPr locked="0" defaultSize="0" autoFill="0" autoLine="0" autoPict="0">
                <anchor moveWithCells="1">
                  <from>
                    <xdr:col>7</xdr:col>
                    <xdr:colOff>88900</xdr:colOff>
                    <xdr:row>19</xdr:row>
                    <xdr:rowOff>63500</xdr:rowOff>
                  </from>
                  <to>
                    <xdr:col>7</xdr:col>
                    <xdr:colOff>285750</xdr:colOff>
                    <xdr:row>19</xdr:row>
                    <xdr:rowOff>279400</xdr:rowOff>
                  </to>
                </anchor>
              </controlPr>
            </control>
          </mc:Choice>
        </mc:AlternateContent>
        <mc:AlternateContent xmlns:mc="http://schemas.openxmlformats.org/markup-compatibility/2006">
          <mc:Choice Requires="x14">
            <control shapeId="1120" r:id="rId94" name="Check Box 96">
              <controlPr locked="0" defaultSize="0" autoFill="0" autoLine="0" autoPict="0">
                <anchor moveWithCells="1">
                  <from>
                    <xdr:col>8</xdr:col>
                    <xdr:colOff>88900</xdr:colOff>
                    <xdr:row>19</xdr:row>
                    <xdr:rowOff>63500</xdr:rowOff>
                  </from>
                  <to>
                    <xdr:col>8</xdr:col>
                    <xdr:colOff>285750</xdr:colOff>
                    <xdr:row>19</xdr:row>
                    <xdr:rowOff>279400</xdr:rowOff>
                  </to>
                </anchor>
              </controlPr>
            </control>
          </mc:Choice>
        </mc:AlternateContent>
        <mc:AlternateContent xmlns:mc="http://schemas.openxmlformats.org/markup-compatibility/2006">
          <mc:Choice Requires="x14">
            <control shapeId="1121" r:id="rId95" name="Check Box 97">
              <controlPr locked="0" defaultSize="0" autoFill="0" autoLine="0" autoPict="0">
                <anchor moveWithCells="1">
                  <from>
                    <xdr:col>2</xdr:col>
                    <xdr:colOff>88900</xdr:colOff>
                    <xdr:row>20</xdr:row>
                    <xdr:rowOff>63500</xdr:rowOff>
                  </from>
                  <to>
                    <xdr:col>2</xdr:col>
                    <xdr:colOff>285750</xdr:colOff>
                    <xdr:row>20</xdr:row>
                    <xdr:rowOff>279400</xdr:rowOff>
                  </to>
                </anchor>
              </controlPr>
            </control>
          </mc:Choice>
        </mc:AlternateContent>
        <mc:AlternateContent xmlns:mc="http://schemas.openxmlformats.org/markup-compatibility/2006">
          <mc:Choice Requires="x14">
            <control shapeId="1122" r:id="rId96" name="Check Box 98">
              <controlPr locked="0" defaultSize="0" autoFill="0" autoLine="0" autoPict="0">
                <anchor moveWithCells="1">
                  <from>
                    <xdr:col>3</xdr:col>
                    <xdr:colOff>88900</xdr:colOff>
                    <xdr:row>20</xdr:row>
                    <xdr:rowOff>63500</xdr:rowOff>
                  </from>
                  <to>
                    <xdr:col>3</xdr:col>
                    <xdr:colOff>285750</xdr:colOff>
                    <xdr:row>20</xdr:row>
                    <xdr:rowOff>279400</xdr:rowOff>
                  </to>
                </anchor>
              </controlPr>
            </control>
          </mc:Choice>
        </mc:AlternateContent>
        <mc:AlternateContent xmlns:mc="http://schemas.openxmlformats.org/markup-compatibility/2006">
          <mc:Choice Requires="x14">
            <control shapeId="1123" r:id="rId97" name="Check Box 99">
              <controlPr locked="0" defaultSize="0" autoFill="0" autoLine="0" autoPict="0">
                <anchor moveWithCells="1">
                  <from>
                    <xdr:col>4</xdr:col>
                    <xdr:colOff>88900</xdr:colOff>
                    <xdr:row>20</xdr:row>
                    <xdr:rowOff>63500</xdr:rowOff>
                  </from>
                  <to>
                    <xdr:col>4</xdr:col>
                    <xdr:colOff>285750</xdr:colOff>
                    <xdr:row>20</xdr:row>
                    <xdr:rowOff>279400</xdr:rowOff>
                  </to>
                </anchor>
              </controlPr>
            </control>
          </mc:Choice>
        </mc:AlternateContent>
        <mc:AlternateContent xmlns:mc="http://schemas.openxmlformats.org/markup-compatibility/2006">
          <mc:Choice Requires="x14">
            <control shapeId="1124" r:id="rId98" name="Check Box 100">
              <controlPr locked="0" defaultSize="0" autoFill="0" autoLine="0" autoPict="0">
                <anchor moveWithCells="1">
                  <from>
                    <xdr:col>5</xdr:col>
                    <xdr:colOff>88900</xdr:colOff>
                    <xdr:row>20</xdr:row>
                    <xdr:rowOff>63500</xdr:rowOff>
                  </from>
                  <to>
                    <xdr:col>5</xdr:col>
                    <xdr:colOff>285750</xdr:colOff>
                    <xdr:row>20</xdr:row>
                    <xdr:rowOff>279400</xdr:rowOff>
                  </to>
                </anchor>
              </controlPr>
            </control>
          </mc:Choice>
        </mc:AlternateContent>
        <mc:AlternateContent xmlns:mc="http://schemas.openxmlformats.org/markup-compatibility/2006">
          <mc:Choice Requires="x14">
            <control shapeId="1125" r:id="rId99" name="Check Box 101">
              <controlPr locked="0" defaultSize="0" autoFill="0" autoLine="0" autoPict="0">
                <anchor moveWithCells="1">
                  <from>
                    <xdr:col>6</xdr:col>
                    <xdr:colOff>88900</xdr:colOff>
                    <xdr:row>20</xdr:row>
                    <xdr:rowOff>63500</xdr:rowOff>
                  </from>
                  <to>
                    <xdr:col>6</xdr:col>
                    <xdr:colOff>285750</xdr:colOff>
                    <xdr:row>20</xdr:row>
                    <xdr:rowOff>279400</xdr:rowOff>
                  </to>
                </anchor>
              </controlPr>
            </control>
          </mc:Choice>
        </mc:AlternateContent>
        <mc:AlternateContent xmlns:mc="http://schemas.openxmlformats.org/markup-compatibility/2006">
          <mc:Choice Requires="x14">
            <control shapeId="1126" r:id="rId100" name="Check Box 102">
              <controlPr locked="0" defaultSize="0" autoFill="0" autoLine="0" autoPict="0">
                <anchor moveWithCells="1">
                  <from>
                    <xdr:col>7</xdr:col>
                    <xdr:colOff>88900</xdr:colOff>
                    <xdr:row>20</xdr:row>
                    <xdr:rowOff>63500</xdr:rowOff>
                  </from>
                  <to>
                    <xdr:col>7</xdr:col>
                    <xdr:colOff>285750</xdr:colOff>
                    <xdr:row>20</xdr:row>
                    <xdr:rowOff>279400</xdr:rowOff>
                  </to>
                </anchor>
              </controlPr>
            </control>
          </mc:Choice>
        </mc:AlternateContent>
        <mc:AlternateContent xmlns:mc="http://schemas.openxmlformats.org/markup-compatibility/2006">
          <mc:Choice Requires="x14">
            <control shapeId="1127" r:id="rId101" name="Check Box 103">
              <controlPr locked="0" defaultSize="0" autoFill="0" autoLine="0" autoPict="0">
                <anchor moveWithCells="1">
                  <from>
                    <xdr:col>8</xdr:col>
                    <xdr:colOff>88900</xdr:colOff>
                    <xdr:row>20</xdr:row>
                    <xdr:rowOff>63500</xdr:rowOff>
                  </from>
                  <to>
                    <xdr:col>8</xdr:col>
                    <xdr:colOff>285750</xdr:colOff>
                    <xdr:row>20</xdr:row>
                    <xdr:rowOff>279400</xdr:rowOff>
                  </to>
                </anchor>
              </controlPr>
            </control>
          </mc:Choice>
        </mc:AlternateContent>
        <mc:AlternateContent xmlns:mc="http://schemas.openxmlformats.org/markup-compatibility/2006">
          <mc:Choice Requires="x14">
            <control shapeId="1128" r:id="rId102" name="Check Box 104">
              <controlPr locked="0" defaultSize="0" autoFill="0" autoLine="0" autoPict="0">
                <anchor moveWithCells="1">
                  <from>
                    <xdr:col>2</xdr:col>
                    <xdr:colOff>88900</xdr:colOff>
                    <xdr:row>21</xdr:row>
                    <xdr:rowOff>63500</xdr:rowOff>
                  </from>
                  <to>
                    <xdr:col>2</xdr:col>
                    <xdr:colOff>285750</xdr:colOff>
                    <xdr:row>21</xdr:row>
                    <xdr:rowOff>279400</xdr:rowOff>
                  </to>
                </anchor>
              </controlPr>
            </control>
          </mc:Choice>
        </mc:AlternateContent>
        <mc:AlternateContent xmlns:mc="http://schemas.openxmlformats.org/markup-compatibility/2006">
          <mc:Choice Requires="x14">
            <control shapeId="1129" r:id="rId103" name="Check Box 105">
              <controlPr locked="0" defaultSize="0" autoFill="0" autoLine="0" autoPict="0">
                <anchor moveWithCells="1">
                  <from>
                    <xdr:col>3</xdr:col>
                    <xdr:colOff>88900</xdr:colOff>
                    <xdr:row>21</xdr:row>
                    <xdr:rowOff>63500</xdr:rowOff>
                  </from>
                  <to>
                    <xdr:col>3</xdr:col>
                    <xdr:colOff>285750</xdr:colOff>
                    <xdr:row>21</xdr:row>
                    <xdr:rowOff>279400</xdr:rowOff>
                  </to>
                </anchor>
              </controlPr>
            </control>
          </mc:Choice>
        </mc:AlternateContent>
        <mc:AlternateContent xmlns:mc="http://schemas.openxmlformats.org/markup-compatibility/2006">
          <mc:Choice Requires="x14">
            <control shapeId="1130" r:id="rId104" name="Check Box 106">
              <controlPr locked="0" defaultSize="0" autoFill="0" autoLine="0" autoPict="0">
                <anchor moveWithCells="1">
                  <from>
                    <xdr:col>4</xdr:col>
                    <xdr:colOff>88900</xdr:colOff>
                    <xdr:row>21</xdr:row>
                    <xdr:rowOff>63500</xdr:rowOff>
                  </from>
                  <to>
                    <xdr:col>4</xdr:col>
                    <xdr:colOff>285750</xdr:colOff>
                    <xdr:row>21</xdr:row>
                    <xdr:rowOff>279400</xdr:rowOff>
                  </to>
                </anchor>
              </controlPr>
            </control>
          </mc:Choice>
        </mc:AlternateContent>
        <mc:AlternateContent xmlns:mc="http://schemas.openxmlformats.org/markup-compatibility/2006">
          <mc:Choice Requires="x14">
            <control shapeId="1131" r:id="rId105" name="Check Box 107">
              <controlPr locked="0" defaultSize="0" autoFill="0" autoLine="0" autoPict="0">
                <anchor moveWithCells="1">
                  <from>
                    <xdr:col>5</xdr:col>
                    <xdr:colOff>88900</xdr:colOff>
                    <xdr:row>21</xdr:row>
                    <xdr:rowOff>63500</xdr:rowOff>
                  </from>
                  <to>
                    <xdr:col>5</xdr:col>
                    <xdr:colOff>285750</xdr:colOff>
                    <xdr:row>21</xdr:row>
                    <xdr:rowOff>279400</xdr:rowOff>
                  </to>
                </anchor>
              </controlPr>
            </control>
          </mc:Choice>
        </mc:AlternateContent>
        <mc:AlternateContent xmlns:mc="http://schemas.openxmlformats.org/markup-compatibility/2006">
          <mc:Choice Requires="x14">
            <control shapeId="1132" r:id="rId106" name="Check Box 108">
              <controlPr locked="0" defaultSize="0" autoFill="0" autoLine="0" autoPict="0">
                <anchor moveWithCells="1">
                  <from>
                    <xdr:col>6</xdr:col>
                    <xdr:colOff>88900</xdr:colOff>
                    <xdr:row>21</xdr:row>
                    <xdr:rowOff>63500</xdr:rowOff>
                  </from>
                  <to>
                    <xdr:col>6</xdr:col>
                    <xdr:colOff>285750</xdr:colOff>
                    <xdr:row>21</xdr:row>
                    <xdr:rowOff>279400</xdr:rowOff>
                  </to>
                </anchor>
              </controlPr>
            </control>
          </mc:Choice>
        </mc:AlternateContent>
        <mc:AlternateContent xmlns:mc="http://schemas.openxmlformats.org/markup-compatibility/2006">
          <mc:Choice Requires="x14">
            <control shapeId="1133" r:id="rId107" name="Check Box 109">
              <controlPr locked="0" defaultSize="0" autoFill="0" autoLine="0" autoPict="0">
                <anchor moveWithCells="1">
                  <from>
                    <xdr:col>7</xdr:col>
                    <xdr:colOff>88900</xdr:colOff>
                    <xdr:row>21</xdr:row>
                    <xdr:rowOff>63500</xdr:rowOff>
                  </from>
                  <to>
                    <xdr:col>7</xdr:col>
                    <xdr:colOff>285750</xdr:colOff>
                    <xdr:row>21</xdr:row>
                    <xdr:rowOff>279400</xdr:rowOff>
                  </to>
                </anchor>
              </controlPr>
            </control>
          </mc:Choice>
        </mc:AlternateContent>
        <mc:AlternateContent xmlns:mc="http://schemas.openxmlformats.org/markup-compatibility/2006">
          <mc:Choice Requires="x14">
            <control shapeId="1134" r:id="rId108" name="Check Box 110">
              <controlPr locked="0" defaultSize="0" autoFill="0" autoLine="0" autoPict="0">
                <anchor moveWithCells="1">
                  <from>
                    <xdr:col>8</xdr:col>
                    <xdr:colOff>88900</xdr:colOff>
                    <xdr:row>21</xdr:row>
                    <xdr:rowOff>63500</xdr:rowOff>
                  </from>
                  <to>
                    <xdr:col>8</xdr:col>
                    <xdr:colOff>285750</xdr:colOff>
                    <xdr:row>21</xdr:row>
                    <xdr:rowOff>279400</xdr:rowOff>
                  </to>
                </anchor>
              </controlPr>
            </control>
          </mc:Choice>
        </mc:AlternateContent>
        <mc:AlternateContent xmlns:mc="http://schemas.openxmlformats.org/markup-compatibility/2006">
          <mc:Choice Requires="x14">
            <control shapeId="1135" r:id="rId109" name="Check Box 111">
              <controlPr locked="0" defaultSize="0" autoFill="0" autoLine="0" autoPict="0">
                <anchor moveWithCells="1">
                  <from>
                    <xdr:col>2</xdr:col>
                    <xdr:colOff>88900</xdr:colOff>
                    <xdr:row>23</xdr:row>
                    <xdr:rowOff>63500</xdr:rowOff>
                  </from>
                  <to>
                    <xdr:col>2</xdr:col>
                    <xdr:colOff>285750</xdr:colOff>
                    <xdr:row>23</xdr:row>
                    <xdr:rowOff>279400</xdr:rowOff>
                  </to>
                </anchor>
              </controlPr>
            </control>
          </mc:Choice>
        </mc:AlternateContent>
        <mc:AlternateContent xmlns:mc="http://schemas.openxmlformats.org/markup-compatibility/2006">
          <mc:Choice Requires="x14">
            <control shapeId="1136" r:id="rId110" name="Check Box 112">
              <controlPr locked="0" defaultSize="0" autoFill="0" autoLine="0" autoPict="0">
                <anchor moveWithCells="1">
                  <from>
                    <xdr:col>3</xdr:col>
                    <xdr:colOff>88900</xdr:colOff>
                    <xdr:row>23</xdr:row>
                    <xdr:rowOff>63500</xdr:rowOff>
                  </from>
                  <to>
                    <xdr:col>3</xdr:col>
                    <xdr:colOff>285750</xdr:colOff>
                    <xdr:row>23</xdr:row>
                    <xdr:rowOff>279400</xdr:rowOff>
                  </to>
                </anchor>
              </controlPr>
            </control>
          </mc:Choice>
        </mc:AlternateContent>
        <mc:AlternateContent xmlns:mc="http://schemas.openxmlformats.org/markup-compatibility/2006">
          <mc:Choice Requires="x14">
            <control shapeId="1137" r:id="rId111" name="Check Box 113">
              <controlPr locked="0" defaultSize="0" autoFill="0" autoLine="0" autoPict="0">
                <anchor moveWithCells="1">
                  <from>
                    <xdr:col>4</xdr:col>
                    <xdr:colOff>88900</xdr:colOff>
                    <xdr:row>23</xdr:row>
                    <xdr:rowOff>63500</xdr:rowOff>
                  </from>
                  <to>
                    <xdr:col>4</xdr:col>
                    <xdr:colOff>285750</xdr:colOff>
                    <xdr:row>23</xdr:row>
                    <xdr:rowOff>279400</xdr:rowOff>
                  </to>
                </anchor>
              </controlPr>
            </control>
          </mc:Choice>
        </mc:AlternateContent>
        <mc:AlternateContent xmlns:mc="http://schemas.openxmlformats.org/markup-compatibility/2006">
          <mc:Choice Requires="x14">
            <control shapeId="1138" r:id="rId112" name="Check Box 114">
              <controlPr locked="0" defaultSize="0" autoFill="0" autoLine="0" autoPict="0">
                <anchor moveWithCells="1">
                  <from>
                    <xdr:col>5</xdr:col>
                    <xdr:colOff>88900</xdr:colOff>
                    <xdr:row>23</xdr:row>
                    <xdr:rowOff>63500</xdr:rowOff>
                  </from>
                  <to>
                    <xdr:col>5</xdr:col>
                    <xdr:colOff>285750</xdr:colOff>
                    <xdr:row>23</xdr:row>
                    <xdr:rowOff>279400</xdr:rowOff>
                  </to>
                </anchor>
              </controlPr>
            </control>
          </mc:Choice>
        </mc:AlternateContent>
        <mc:AlternateContent xmlns:mc="http://schemas.openxmlformats.org/markup-compatibility/2006">
          <mc:Choice Requires="x14">
            <control shapeId="1139" r:id="rId113" name="Check Box 115">
              <controlPr locked="0" defaultSize="0" autoFill="0" autoLine="0" autoPict="0">
                <anchor moveWithCells="1">
                  <from>
                    <xdr:col>6</xdr:col>
                    <xdr:colOff>88900</xdr:colOff>
                    <xdr:row>23</xdr:row>
                    <xdr:rowOff>63500</xdr:rowOff>
                  </from>
                  <to>
                    <xdr:col>6</xdr:col>
                    <xdr:colOff>285750</xdr:colOff>
                    <xdr:row>23</xdr:row>
                    <xdr:rowOff>279400</xdr:rowOff>
                  </to>
                </anchor>
              </controlPr>
            </control>
          </mc:Choice>
        </mc:AlternateContent>
        <mc:AlternateContent xmlns:mc="http://schemas.openxmlformats.org/markup-compatibility/2006">
          <mc:Choice Requires="x14">
            <control shapeId="1140" r:id="rId114" name="Check Box 116">
              <controlPr locked="0" defaultSize="0" autoFill="0" autoLine="0" autoPict="0">
                <anchor moveWithCells="1">
                  <from>
                    <xdr:col>7</xdr:col>
                    <xdr:colOff>88900</xdr:colOff>
                    <xdr:row>23</xdr:row>
                    <xdr:rowOff>63500</xdr:rowOff>
                  </from>
                  <to>
                    <xdr:col>7</xdr:col>
                    <xdr:colOff>285750</xdr:colOff>
                    <xdr:row>23</xdr:row>
                    <xdr:rowOff>279400</xdr:rowOff>
                  </to>
                </anchor>
              </controlPr>
            </control>
          </mc:Choice>
        </mc:AlternateContent>
        <mc:AlternateContent xmlns:mc="http://schemas.openxmlformats.org/markup-compatibility/2006">
          <mc:Choice Requires="x14">
            <control shapeId="1141" r:id="rId115" name="Check Box 117">
              <controlPr locked="0" defaultSize="0" autoFill="0" autoLine="0" autoPict="0">
                <anchor moveWithCells="1">
                  <from>
                    <xdr:col>8</xdr:col>
                    <xdr:colOff>88900</xdr:colOff>
                    <xdr:row>23</xdr:row>
                    <xdr:rowOff>63500</xdr:rowOff>
                  </from>
                  <to>
                    <xdr:col>8</xdr:col>
                    <xdr:colOff>285750</xdr:colOff>
                    <xdr:row>23</xdr:row>
                    <xdr:rowOff>279400</xdr:rowOff>
                  </to>
                </anchor>
              </controlPr>
            </control>
          </mc:Choice>
        </mc:AlternateContent>
        <mc:AlternateContent xmlns:mc="http://schemas.openxmlformats.org/markup-compatibility/2006">
          <mc:Choice Requires="x14">
            <control shapeId="1142" r:id="rId116" name="Check Box 118">
              <controlPr locked="0" defaultSize="0" autoFill="0" autoLine="0" autoPict="0">
                <anchor moveWithCells="1">
                  <from>
                    <xdr:col>2</xdr:col>
                    <xdr:colOff>88900</xdr:colOff>
                    <xdr:row>24</xdr:row>
                    <xdr:rowOff>63500</xdr:rowOff>
                  </from>
                  <to>
                    <xdr:col>2</xdr:col>
                    <xdr:colOff>285750</xdr:colOff>
                    <xdr:row>24</xdr:row>
                    <xdr:rowOff>279400</xdr:rowOff>
                  </to>
                </anchor>
              </controlPr>
            </control>
          </mc:Choice>
        </mc:AlternateContent>
        <mc:AlternateContent xmlns:mc="http://schemas.openxmlformats.org/markup-compatibility/2006">
          <mc:Choice Requires="x14">
            <control shapeId="1143" r:id="rId117" name="Check Box 119">
              <controlPr locked="0" defaultSize="0" autoFill="0" autoLine="0" autoPict="0">
                <anchor moveWithCells="1">
                  <from>
                    <xdr:col>3</xdr:col>
                    <xdr:colOff>88900</xdr:colOff>
                    <xdr:row>24</xdr:row>
                    <xdr:rowOff>63500</xdr:rowOff>
                  </from>
                  <to>
                    <xdr:col>3</xdr:col>
                    <xdr:colOff>285750</xdr:colOff>
                    <xdr:row>24</xdr:row>
                    <xdr:rowOff>279400</xdr:rowOff>
                  </to>
                </anchor>
              </controlPr>
            </control>
          </mc:Choice>
        </mc:AlternateContent>
        <mc:AlternateContent xmlns:mc="http://schemas.openxmlformats.org/markup-compatibility/2006">
          <mc:Choice Requires="x14">
            <control shapeId="1144" r:id="rId118" name="Check Box 120">
              <controlPr locked="0" defaultSize="0" autoFill="0" autoLine="0" autoPict="0">
                <anchor moveWithCells="1">
                  <from>
                    <xdr:col>4</xdr:col>
                    <xdr:colOff>88900</xdr:colOff>
                    <xdr:row>24</xdr:row>
                    <xdr:rowOff>63500</xdr:rowOff>
                  </from>
                  <to>
                    <xdr:col>4</xdr:col>
                    <xdr:colOff>285750</xdr:colOff>
                    <xdr:row>24</xdr:row>
                    <xdr:rowOff>279400</xdr:rowOff>
                  </to>
                </anchor>
              </controlPr>
            </control>
          </mc:Choice>
        </mc:AlternateContent>
        <mc:AlternateContent xmlns:mc="http://schemas.openxmlformats.org/markup-compatibility/2006">
          <mc:Choice Requires="x14">
            <control shapeId="1145" r:id="rId119" name="Check Box 121">
              <controlPr locked="0" defaultSize="0" autoFill="0" autoLine="0" autoPict="0">
                <anchor moveWithCells="1">
                  <from>
                    <xdr:col>5</xdr:col>
                    <xdr:colOff>88900</xdr:colOff>
                    <xdr:row>24</xdr:row>
                    <xdr:rowOff>63500</xdr:rowOff>
                  </from>
                  <to>
                    <xdr:col>5</xdr:col>
                    <xdr:colOff>285750</xdr:colOff>
                    <xdr:row>24</xdr:row>
                    <xdr:rowOff>279400</xdr:rowOff>
                  </to>
                </anchor>
              </controlPr>
            </control>
          </mc:Choice>
        </mc:AlternateContent>
        <mc:AlternateContent xmlns:mc="http://schemas.openxmlformats.org/markup-compatibility/2006">
          <mc:Choice Requires="x14">
            <control shapeId="1146" r:id="rId120" name="Check Box 122">
              <controlPr locked="0" defaultSize="0" autoFill="0" autoLine="0" autoPict="0">
                <anchor moveWithCells="1">
                  <from>
                    <xdr:col>6</xdr:col>
                    <xdr:colOff>88900</xdr:colOff>
                    <xdr:row>24</xdr:row>
                    <xdr:rowOff>63500</xdr:rowOff>
                  </from>
                  <to>
                    <xdr:col>6</xdr:col>
                    <xdr:colOff>285750</xdr:colOff>
                    <xdr:row>24</xdr:row>
                    <xdr:rowOff>279400</xdr:rowOff>
                  </to>
                </anchor>
              </controlPr>
            </control>
          </mc:Choice>
        </mc:AlternateContent>
        <mc:AlternateContent xmlns:mc="http://schemas.openxmlformats.org/markup-compatibility/2006">
          <mc:Choice Requires="x14">
            <control shapeId="1147" r:id="rId121" name="Check Box 123">
              <controlPr locked="0" defaultSize="0" autoFill="0" autoLine="0" autoPict="0">
                <anchor moveWithCells="1">
                  <from>
                    <xdr:col>7</xdr:col>
                    <xdr:colOff>88900</xdr:colOff>
                    <xdr:row>24</xdr:row>
                    <xdr:rowOff>63500</xdr:rowOff>
                  </from>
                  <to>
                    <xdr:col>7</xdr:col>
                    <xdr:colOff>285750</xdr:colOff>
                    <xdr:row>24</xdr:row>
                    <xdr:rowOff>279400</xdr:rowOff>
                  </to>
                </anchor>
              </controlPr>
            </control>
          </mc:Choice>
        </mc:AlternateContent>
        <mc:AlternateContent xmlns:mc="http://schemas.openxmlformats.org/markup-compatibility/2006">
          <mc:Choice Requires="x14">
            <control shapeId="1148" r:id="rId122" name="Check Box 124">
              <controlPr locked="0" defaultSize="0" autoFill="0" autoLine="0" autoPict="0">
                <anchor moveWithCells="1">
                  <from>
                    <xdr:col>8</xdr:col>
                    <xdr:colOff>88900</xdr:colOff>
                    <xdr:row>24</xdr:row>
                    <xdr:rowOff>63500</xdr:rowOff>
                  </from>
                  <to>
                    <xdr:col>8</xdr:col>
                    <xdr:colOff>285750</xdr:colOff>
                    <xdr:row>24</xdr:row>
                    <xdr:rowOff>279400</xdr:rowOff>
                  </to>
                </anchor>
              </controlPr>
            </control>
          </mc:Choice>
        </mc:AlternateContent>
        <mc:AlternateContent xmlns:mc="http://schemas.openxmlformats.org/markup-compatibility/2006">
          <mc:Choice Requires="x14">
            <control shapeId="1149" r:id="rId123" name="Check Box 125">
              <controlPr locked="0" defaultSize="0" autoFill="0" autoLine="0" autoPict="0">
                <anchor moveWithCells="1">
                  <from>
                    <xdr:col>2</xdr:col>
                    <xdr:colOff>88900</xdr:colOff>
                    <xdr:row>25</xdr:row>
                    <xdr:rowOff>63500</xdr:rowOff>
                  </from>
                  <to>
                    <xdr:col>2</xdr:col>
                    <xdr:colOff>285750</xdr:colOff>
                    <xdr:row>25</xdr:row>
                    <xdr:rowOff>279400</xdr:rowOff>
                  </to>
                </anchor>
              </controlPr>
            </control>
          </mc:Choice>
        </mc:AlternateContent>
        <mc:AlternateContent xmlns:mc="http://schemas.openxmlformats.org/markup-compatibility/2006">
          <mc:Choice Requires="x14">
            <control shapeId="1150" r:id="rId124" name="Check Box 126">
              <controlPr locked="0" defaultSize="0" autoFill="0" autoLine="0" autoPict="0">
                <anchor moveWithCells="1">
                  <from>
                    <xdr:col>3</xdr:col>
                    <xdr:colOff>88900</xdr:colOff>
                    <xdr:row>25</xdr:row>
                    <xdr:rowOff>63500</xdr:rowOff>
                  </from>
                  <to>
                    <xdr:col>3</xdr:col>
                    <xdr:colOff>285750</xdr:colOff>
                    <xdr:row>25</xdr:row>
                    <xdr:rowOff>279400</xdr:rowOff>
                  </to>
                </anchor>
              </controlPr>
            </control>
          </mc:Choice>
        </mc:AlternateContent>
        <mc:AlternateContent xmlns:mc="http://schemas.openxmlformats.org/markup-compatibility/2006">
          <mc:Choice Requires="x14">
            <control shapeId="1151" r:id="rId125" name="Check Box 127">
              <controlPr locked="0" defaultSize="0" autoFill="0" autoLine="0" autoPict="0">
                <anchor moveWithCells="1">
                  <from>
                    <xdr:col>4</xdr:col>
                    <xdr:colOff>88900</xdr:colOff>
                    <xdr:row>25</xdr:row>
                    <xdr:rowOff>63500</xdr:rowOff>
                  </from>
                  <to>
                    <xdr:col>4</xdr:col>
                    <xdr:colOff>285750</xdr:colOff>
                    <xdr:row>25</xdr:row>
                    <xdr:rowOff>279400</xdr:rowOff>
                  </to>
                </anchor>
              </controlPr>
            </control>
          </mc:Choice>
        </mc:AlternateContent>
        <mc:AlternateContent xmlns:mc="http://schemas.openxmlformats.org/markup-compatibility/2006">
          <mc:Choice Requires="x14">
            <control shapeId="1152" r:id="rId126" name="Check Box 128">
              <controlPr locked="0" defaultSize="0" autoFill="0" autoLine="0" autoPict="0">
                <anchor moveWithCells="1">
                  <from>
                    <xdr:col>5</xdr:col>
                    <xdr:colOff>88900</xdr:colOff>
                    <xdr:row>25</xdr:row>
                    <xdr:rowOff>63500</xdr:rowOff>
                  </from>
                  <to>
                    <xdr:col>5</xdr:col>
                    <xdr:colOff>285750</xdr:colOff>
                    <xdr:row>25</xdr:row>
                    <xdr:rowOff>279400</xdr:rowOff>
                  </to>
                </anchor>
              </controlPr>
            </control>
          </mc:Choice>
        </mc:AlternateContent>
        <mc:AlternateContent xmlns:mc="http://schemas.openxmlformats.org/markup-compatibility/2006">
          <mc:Choice Requires="x14">
            <control shapeId="1153" r:id="rId127" name="Check Box 129">
              <controlPr locked="0" defaultSize="0" autoFill="0" autoLine="0" autoPict="0">
                <anchor moveWithCells="1">
                  <from>
                    <xdr:col>6</xdr:col>
                    <xdr:colOff>88900</xdr:colOff>
                    <xdr:row>25</xdr:row>
                    <xdr:rowOff>63500</xdr:rowOff>
                  </from>
                  <to>
                    <xdr:col>6</xdr:col>
                    <xdr:colOff>285750</xdr:colOff>
                    <xdr:row>25</xdr:row>
                    <xdr:rowOff>279400</xdr:rowOff>
                  </to>
                </anchor>
              </controlPr>
            </control>
          </mc:Choice>
        </mc:AlternateContent>
        <mc:AlternateContent xmlns:mc="http://schemas.openxmlformats.org/markup-compatibility/2006">
          <mc:Choice Requires="x14">
            <control shapeId="1154" r:id="rId128" name="Check Box 130">
              <controlPr locked="0" defaultSize="0" autoFill="0" autoLine="0" autoPict="0">
                <anchor moveWithCells="1">
                  <from>
                    <xdr:col>7</xdr:col>
                    <xdr:colOff>88900</xdr:colOff>
                    <xdr:row>25</xdr:row>
                    <xdr:rowOff>63500</xdr:rowOff>
                  </from>
                  <to>
                    <xdr:col>7</xdr:col>
                    <xdr:colOff>285750</xdr:colOff>
                    <xdr:row>25</xdr:row>
                    <xdr:rowOff>279400</xdr:rowOff>
                  </to>
                </anchor>
              </controlPr>
            </control>
          </mc:Choice>
        </mc:AlternateContent>
        <mc:AlternateContent xmlns:mc="http://schemas.openxmlformats.org/markup-compatibility/2006">
          <mc:Choice Requires="x14">
            <control shapeId="1155" r:id="rId129" name="Check Box 131">
              <controlPr locked="0" defaultSize="0" autoFill="0" autoLine="0" autoPict="0">
                <anchor moveWithCells="1">
                  <from>
                    <xdr:col>8</xdr:col>
                    <xdr:colOff>88900</xdr:colOff>
                    <xdr:row>25</xdr:row>
                    <xdr:rowOff>63500</xdr:rowOff>
                  </from>
                  <to>
                    <xdr:col>8</xdr:col>
                    <xdr:colOff>285750</xdr:colOff>
                    <xdr:row>25</xdr:row>
                    <xdr:rowOff>279400</xdr:rowOff>
                  </to>
                </anchor>
              </controlPr>
            </control>
          </mc:Choice>
        </mc:AlternateContent>
        <mc:AlternateContent xmlns:mc="http://schemas.openxmlformats.org/markup-compatibility/2006">
          <mc:Choice Requires="x14">
            <control shapeId="1156" r:id="rId130" name="Check Box 132">
              <controlPr locked="0" defaultSize="0" autoFill="0" autoLine="0" autoPict="0">
                <anchor moveWithCells="1">
                  <from>
                    <xdr:col>2</xdr:col>
                    <xdr:colOff>88900</xdr:colOff>
                    <xdr:row>26</xdr:row>
                    <xdr:rowOff>63500</xdr:rowOff>
                  </from>
                  <to>
                    <xdr:col>2</xdr:col>
                    <xdr:colOff>285750</xdr:colOff>
                    <xdr:row>26</xdr:row>
                    <xdr:rowOff>279400</xdr:rowOff>
                  </to>
                </anchor>
              </controlPr>
            </control>
          </mc:Choice>
        </mc:AlternateContent>
        <mc:AlternateContent xmlns:mc="http://schemas.openxmlformats.org/markup-compatibility/2006">
          <mc:Choice Requires="x14">
            <control shapeId="1157" r:id="rId131" name="Check Box 133">
              <controlPr locked="0" defaultSize="0" autoFill="0" autoLine="0" autoPict="0">
                <anchor moveWithCells="1">
                  <from>
                    <xdr:col>3</xdr:col>
                    <xdr:colOff>88900</xdr:colOff>
                    <xdr:row>26</xdr:row>
                    <xdr:rowOff>63500</xdr:rowOff>
                  </from>
                  <to>
                    <xdr:col>3</xdr:col>
                    <xdr:colOff>285750</xdr:colOff>
                    <xdr:row>26</xdr:row>
                    <xdr:rowOff>279400</xdr:rowOff>
                  </to>
                </anchor>
              </controlPr>
            </control>
          </mc:Choice>
        </mc:AlternateContent>
        <mc:AlternateContent xmlns:mc="http://schemas.openxmlformats.org/markup-compatibility/2006">
          <mc:Choice Requires="x14">
            <control shapeId="1158" r:id="rId132" name="Check Box 134">
              <controlPr locked="0" defaultSize="0" autoFill="0" autoLine="0" autoPict="0">
                <anchor moveWithCells="1">
                  <from>
                    <xdr:col>4</xdr:col>
                    <xdr:colOff>88900</xdr:colOff>
                    <xdr:row>26</xdr:row>
                    <xdr:rowOff>63500</xdr:rowOff>
                  </from>
                  <to>
                    <xdr:col>4</xdr:col>
                    <xdr:colOff>285750</xdr:colOff>
                    <xdr:row>26</xdr:row>
                    <xdr:rowOff>279400</xdr:rowOff>
                  </to>
                </anchor>
              </controlPr>
            </control>
          </mc:Choice>
        </mc:AlternateContent>
        <mc:AlternateContent xmlns:mc="http://schemas.openxmlformats.org/markup-compatibility/2006">
          <mc:Choice Requires="x14">
            <control shapeId="1159" r:id="rId133" name="Check Box 135">
              <controlPr locked="0" defaultSize="0" autoFill="0" autoLine="0" autoPict="0">
                <anchor moveWithCells="1">
                  <from>
                    <xdr:col>5</xdr:col>
                    <xdr:colOff>88900</xdr:colOff>
                    <xdr:row>26</xdr:row>
                    <xdr:rowOff>63500</xdr:rowOff>
                  </from>
                  <to>
                    <xdr:col>5</xdr:col>
                    <xdr:colOff>285750</xdr:colOff>
                    <xdr:row>26</xdr:row>
                    <xdr:rowOff>279400</xdr:rowOff>
                  </to>
                </anchor>
              </controlPr>
            </control>
          </mc:Choice>
        </mc:AlternateContent>
        <mc:AlternateContent xmlns:mc="http://schemas.openxmlformats.org/markup-compatibility/2006">
          <mc:Choice Requires="x14">
            <control shapeId="1160" r:id="rId134" name="Check Box 136">
              <controlPr locked="0" defaultSize="0" autoFill="0" autoLine="0" autoPict="0">
                <anchor moveWithCells="1">
                  <from>
                    <xdr:col>6</xdr:col>
                    <xdr:colOff>88900</xdr:colOff>
                    <xdr:row>26</xdr:row>
                    <xdr:rowOff>63500</xdr:rowOff>
                  </from>
                  <to>
                    <xdr:col>6</xdr:col>
                    <xdr:colOff>285750</xdr:colOff>
                    <xdr:row>26</xdr:row>
                    <xdr:rowOff>279400</xdr:rowOff>
                  </to>
                </anchor>
              </controlPr>
            </control>
          </mc:Choice>
        </mc:AlternateContent>
        <mc:AlternateContent xmlns:mc="http://schemas.openxmlformats.org/markup-compatibility/2006">
          <mc:Choice Requires="x14">
            <control shapeId="1161" r:id="rId135" name="Check Box 137">
              <controlPr locked="0" defaultSize="0" autoFill="0" autoLine="0" autoPict="0">
                <anchor moveWithCells="1">
                  <from>
                    <xdr:col>7</xdr:col>
                    <xdr:colOff>88900</xdr:colOff>
                    <xdr:row>26</xdr:row>
                    <xdr:rowOff>63500</xdr:rowOff>
                  </from>
                  <to>
                    <xdr:col>7</xdr:col>
                    <xdr:colOff>285750</xdr:colOff>
                    <xdr:row>26</xdr:row>
                    <xdr:rowOff>279400</xdr:rowOff>
                  </to>
                </anchor>
              </controlPr>
            </control>
          </mc:Choice>
        </mc:AlternateContent>
        <mc:AlternateContent xmlns:mc="http://schemas.openxmlformats.org/markup-compatibility/2006">
          <mc:Choice Requires="x14">
            <control shapeId="1162" r:id="rId136" name="Check Box 138">
              <controlPr locked="0" defaultSize="0" autoFill="0" autoLine="0" autoPict="0">
                <anchor moveWithCells="1">
                  <from>
                    <xdr:col>8</xdr:col>
                    <xdr:colOff>88900</xdr:colOff>
                    <xdr:row>26</xdr:row>
                    <xdr:rowOff>63500</xdr:rowOff>
                  </from>
                  <to>
                    <xdr:col>8</xdr:col>
                    <xdr:colOff>285750</xdr:colOff>
                    <xdr:row>26</xdr:row>
                    <xdr:rowOff>279400</xdr:rowOff>
                  </to>
                </anchor>
              </controlPr>
            </control>
          </mc:Choice>
        </mc:AlternateContent>
        <mc:AlternateContent xmlns:mc="http://schemas.openxmlformats.org/markup-compatibility/2006">
          <mc:Choice Requires="x14">
            <control shapeId="1163" r:id="rId137" name="Check Box 139">
              <controlPr locked="0" defaultSize="0" autoFill="0" autoLine="0" autoPict="0">
                <anchor moveWithCells="1">
                  <from>
                    <xdr:col>2</xdr:col>
                    <xdr:colOff>88900</xdr:colOff>
                    <xdr:row>27</xdr:row>
                    <xdr:rowOff>63500</xdr:rowOff>
                  </from>
                  <to>
                    <xdr:col>2</xdr:col>
                    <xdr:colOff>285750</xdr:colOff>
                    <xdr:row>27</xdr:row>
                    <xdr:rowOff>279400</xdr:rowOff>
                  </to>
                </anchor>
              </controlPr>
            </control>
          </mc:Choice>
        </mc:AlternateContent>
        <mc:AlternateContent xmlns:mc="http://schemas.openxmlformats.org/markup-compatibility/2006">
          <mc:Choice Requires="x14">
            <control shapeId="1164" r:id="rId138" name="Check Box 140">
              <controlPr locked="0" defaultSize="0" autoFill="0" autoLine="0" autoPict="0">
                <anchor moveWithCells="1">
                  <from>
                    <xdr:col>3</xdr:col>
                    <xdr:colOff>88900</xdr:colOff>
                    <xdr:row>27</xdr:row>
                    <xdr:rowOff>63500</xdr:rowOff>
                  </from>
                  <to>
                    <xdr:col>3</xdr:col>
                    <xdr:colOff>285750</xdr:colOff>
                    <xdr:row>27</xdr:row>
                    <xdr:rowOff>279400</xdr:rowOff>
                  </to>
                </anchor>
              </controlPr>
            </control>
          </mc:Choice>
        </mc:AlternateContent>
        <mc:AlternateContent xmlns:mc="http://schemas.openxmlformats.org/markup-compatibility/2006">
          <mc:Choice Requires="x14">
            <control shapeId="1165" r:id="rId139" name="Check Box 141">
              <controlPr locked="0" defaultSize="0" autoFill="0" autoLine="0" autoPict="0">
                <anchor moveWithCells="1">
                  <from>
                    <xdr:col>4</xdr:col>
                    <xdr:colOff>88900</xdr:colOff>
                    <xdr:row>27</xdr:row>
                    <xdr:rowOff>63500</xdr:rowOff>
                  </from>
                  <to>
                    <xdr:col>4</xdr:col>
                    <xdr:colOff>285750</xdr:colOff>
                    <xdr:row>27</xdr:row>
                    <xdr:rowOff>279400</xdr:rowOff>
                  </to>
                </anchor>
              </controlPr>
            </control>
          </mc:Choice>
        </mc:AlternateContent>
        <mc:AlternateContent xmlns:mc="http://schemas.openxmlformats.org/markup-compatibility/2006">
          <mc:Choice Requires="x14">
            <control shapeId="1166" r:id="rId140" name="Check Box 142">
              <controlPr locked="0" defaultSize="0" autoFill="0" autoLine="0" autoPict="0">
                <anchor moveWithCells="1">
                  <from>
                    <xdr:col>5</xdr:col>
                    <xdr:colOff>88900</xdr:colOff>
                    <xdr:row>27</xdr:row>
                    <xdr:rowOff>63500</xdr:rowOff>
                  </from>
                  <to>
                    <xdr:col>5</xdr:col>
                    <xdr:colOff>285750</xdr:colOff>
                    <xdr:row>27</xdr:row>
                    <xdr:rowOff>279400</xdr:rowOff>
                  </to>
                </anchor>
              </controlPr>
            </control>
          </mc:Choice>
        </mc:AlternateContent>
        <mc:AlternateContent xmlns:mc="http://schemas.openxmlformats.org/markup-compatibility/2006">
          <mc:Choice Requires="x14">
            <control shapeId="1167" r:id="rId141" name="Check Box 143">
              <controlPr locked="0" defaultSize="0" autoFill="0" autoLine="0" autoPict="0">
                <anchor moveWithCells="1">
                  <from>
                    <xdr:col>6</xdr:col>
                    <xdr:colOff>88900</xdr:colOff>
                    <xdr:row>27</xdr:row>
                    <xdr:rowOff>63500</xdr:rowOff>
                  </from>
                  <to>
                    <xdr:col>6</xdr:col>
                    <xdr:colOff>285750</xdr:colOff>
                    <xdr:row>27</xdr:row>
                    <xdr:rowOff>279400</xdr:rowOff>
                  </to>
                </anchor>
              </controlPr>
            </control>
          </mc:Choice>
        </mc:AlternateContent>
        <mc:AlternateContent xmlns:mc="http://schemas.openxmlformats.org/markup-compatibility/2006">
          <mc:Choice Requires="x14">
            <control shapeId="1168" r:id="rId142" name="Check Box 144">
              <controlPr locked="0" defaultSize="0" autoFill="0" autoLine="0" autoPict="0">
                <anchor moveWithCells="1">
                  <from>
                    <xdr:col>7</xdr:col>
                    <xdr:colOff>88900</xdr:colOff>
                    <xdr:row>27</xdr:row>
                    <xdr:rowOff>63500</xdr:rowOff>
                  </from>
                  <to>
                    <xdr:col>7</xdr:col>
                    <xdr:colOff>285750</xdr:colOff>
                    <xdr:row>27</xdr:row>
                    <xdr:rowOff>279400</xdr:rowOff>
                  </to>
                </anchor>
              </controlPr>
            </control>
          </mc:Choice>
        </mc:AlternateContent>
        <mc:AlternateContent xmlns:mc="http://schemas.openxmlformats.org/markup-compatibility/2006">
          <mc:Choice Requires="x14">
            <control shapeId="1169" r:id="rId143" name="Check Box 145">
              <controlPr locked="0" defaultSize="0" autoFill="0" autoLine="0" autoPict="0">
                <anchor moveWithCells="1">
                  <from>
                    <xdr:col>8</xdr:col>
                    <xdr:colOff>88900</xdr:colOff>
                    <xdr:row>27</xdr:row>
                    <xdr:rowOff>63500</xdr:rowOff>
                  </from>
                  <to>
                    <xdr:col>8</xdr:col>
                    <xdr:colOff>285750</xdr:colOff>
                    <xdr:row>27</xdr:row>
                    <xdr:rowOff>279400</xdr:rowOff>
                  </to>
                </anchor>
              </controlPr>
            </control>
          </mc:Choice>
        </mc:AlternateContent>
        <mc:AlternateContent xmlns:mc="http://schemas.openxmlformats.org/markup-compatibility/2006">
          <mc:Choice Requires="x14">
            <control shapeId="1170" r:id="rId144" name="Check Box 146">
              <controlPr locked="0" defaultSize="0" autoFill="0" autoLine="0" autoPict="0">
                <anchor moveWithCells="1">
                  <from>
                    <xdr:col>2</xdr:col>
                    <xdr:colOff>88900</xdr:colOff>
                    <xdr:row>29</xdr:row>
                    <xdr:rowOff>63500</xdr:rowOff>
                  </from>
                  <to>
                    <xdr:col>2</xdr:col>
                    <xdr:colOff>285750</xdr:colOff>
                    <xdr:row>29</xdr:row>
                    <xdr:rowOff>279400</xdr:rowOff>
                  </to>
                </anchor>
              </controlPr>
            </control>
          </mc:Choice>
        </mc:AlternateContent>
        <mc:AlternateContent xmlns:mc="http://schemas.openxmlformats.org/markup-compatibility/2006">
          <mc:Choice Requires="x14">
            <control shapeId="1171" r:id="rId145" name="Check Box 147">
              <controlPr locked="0" defaultSize="0" autoFill="0" autoLine="0" autoPict="0">
                <anchor moveWithCells="1">
                  <from>
                    <xdr:col>3</xdr:col>
                    <xdr:colOff>88900</xdr:colOff>
                    <xdr:row>29</xdr:row>
                    <xdr:rowOff>63500</xdr:rowOff>
                  </from>
                  <to>
                    <xdr:col>3</xdr:col>
                    <xdr:colOff>285750</xdr:colOff>
                    <xdr:row>29</xdr:row>
                    <xdr:rowOff>279400</xdr:rowOff>
                  </to>
                </anchor>
              </controlPr>
            </control>
          </mc:Choice>
        </mc:AlternateContent>
        <mc:AlternateContent xmlns:mc="http://schemas.openxmlformats.org/markup-compatibility/2006">
          <mc:Choice Requires="x14">
            <control shapeId="1172" r:id="rId146" name="Check Box 148">
              <controlPr locked="0" defaultSize="0" autoFill="0" autoLine="0" autoPict="0">
                <anchor moveWithCells="1">
                  <from>
                    <xdr:col>4</xdr:col>
                    <xdr:colOff>88900</xdr:colOff>
                    <xdr:row>29</xdr:row>
                    <xdr:rowOff>63500</xdr:rowOff>
                  </from>
                  <to>
                    <xdr:col>4</xdr:col>
                    <xdr:colOff>285750</xdr:colOff>
                    <xdr:row>29</xdr:row>
                    <xdr:rowOff>279400</xdr:rowOff>
                  </to>
                </anchor>
              </controlPr>
            </control>
          </mc:Choice>
        </mc:AlternateContent>
        <mc:AlternateContent xmlns:mc="http://schemas.openxmlformats.org/markup-compatibility/2006">
          <mc:Choice Requires="x14">
            <control shapeId="1173" r:id="rId147" name="Check Box 149">
              <controlPr locked="0" defaultSize="0" autoFill="0" autoLine="0" autoPict="0">
                <anchor moveWithCells="1">
                  <from>
                    <xdr:col>5</xdr:col>
                    <xdr:colOff>88900</xdr:colOff>
                    <xdr:row>29</xdr:row>
                    <xdr:rowOff>63500</xdr:rowOff>
                  </from>
                  <to>
                    <xdr:col>5</xdr:col>
                    <xdr:colOff>285750</xdr:colOff>
                    <xdr:row>29</xdr:row>
                    <xdr:rowOff>279400</xdr:rowOff>
                  </to>
                </anchor>
              </controlPr>
            </control>
          </mc:Choice>
        </mc:AlternateContent>
        <mc:AlternateContent xmlns:mc="http://schemas.openxmlformats.org/markup-compatibility/2006">
          <mc:Choice Requires="x14">
            <control shapeId="1174" r:id="rId148" name="Check Box 150">
              <controlPr locked="0" defaultSize="0" autoFill="0" autoLine="0" autoPict="0">
                <anchor moveWithCells="1">
                  <from>
                    <xdr:col>6</xdr:col>
                    <xdr:colOff>88900</xdr:colOff>
                    <xdr:row>29</xdr:row>
                    <xdr:rowOff>63500</xdr:rowOff>
                  </from>
                  <to>
                    <xdr:col>6</xdr:col>
                    <xdr:colOff>285750</xdr:colOff>
                    <xdr:row>29</xdr:row>
                    <xdr:rowOff>279400</xdr:rowOff>
                  </to>
                </anchor>
              </controlPr>
            </control>
          </mc:Choice>
        </mc:AlternateContent>
        <mc:AlternateContent xmlns:mc="http://schemas.openxmlformats.org/markup-compatibility/2006">
          <mc:Choice Requires="x14">
            <control shapeId="1175" r:id="rId149" name="Check Box 151">
              <controlPr locked="0" defaultSize="0" autoFill="0" autoLine="0" autoPict="0">
                <anchor moveWithCells="1">
                  <from>
                    <xdr:col>7</xdr:col>
                    <xdr:colOff>88900</xdr:colOff>
                    <xdr:row>29</xdr:row>
                    <xdr:rowOff>63500</xdr:rowOff>
                  </from>
                  <to>
                    <xdr:col>7</xdr:col>
                    <xdr:colOff>285750</xdr:colOff>
                    <xdr:row>29</xdr:row>
                    <xdr:rowOff>279400</xdr:rowOff>
                  </to>
                </anchor>
              </controlPr>
            </control>
          </mc:Choice>
        </mc:AlternateContent>
        <mc:AlternateContent xmlns:mc="http://schemas.openxmlformats.org/markup-compatibility/2006">
          <mc:Choice Requires="x14">
            <control shapeId="1176" r:id="rId150" name="Check Box 152">
              <controlPr locked="0" defaultSize="0" autoFill="0" autoLine="0" autoPict="0">
                <anchor moveWithCells="1">
                  <from>
                    <xdr:col>8</xdr:col>
                    <xdr:colOff>88900</xdr:colOff>
                    <xdr:row>29</xdr:row>
                    <xdr:rowOff>63500</xdr:rowOff>
                  </from>
                  <to>
                    <xdr:col>8</xdr:col>
                    <xdr:colOff>285750</xdr:colOff>
                    <xdr:row>29</xdr:row>
                    <xdr:rowOff>279400</xdr:rowOff>
                  </to>
                </anchor>
              </controlPr>
            </control>
          </mc:Choice>
        </mc:AlternateContent>
        <mc:AlternateContent xmlns:mc="http://schemas.openxmlformats.org/markup-compatibility/2006">
          <mc:Choice Requires="x14">
            <control shapeId="1177" r:id="rId151" name="Check Box 153">
              <controlPr locked="0" defaultSize="0" autoFill="0" autoLine="0" autoPict="0">
                <anchor moveWithCells="1">
                  <from>
                    <xdr:col>2</xdr:col>
                    <xdr:colOff>88900</xdr:colOff>
                    <xdr:row>30</xdr:row>
                    <xdr:rowOff>63500</xdr:rowOff>
                  </from>
                  <to>
                    <xdr:col>2</xdr:col>
                    <xdr:colOff>285750</xdr:colOff>
                    <xdr:row>30</xdr:row>
                    <xdr:rowOff>279400</xdr:rowOff>
                  </to>
                </anchor>
              </controlPr>
            </control>
          </mc:Choice>
        </mc:AlternateContent>
        <mc:AlternateContent xmlns:mc="http://schemas.openxmlformats.org/markup-compatibility/2006">
          <mc:Choice Requires="x14">
            <control shapeId="1178" r:id="rId152" name="Check Box 154">
              <controlPr locked="0" defaultSize="0" autoFill="0" autoLine="0" autoPict="0">
                <anchor moveWithCells="1">
                  <from>
                    <xdr:col>3</xdr:col>
                    <xdr:colOff>88900</xdr:colOff>
                    <xdr:row>30</xdr:row>
                    <xdr:rowOff>63500</xdr:rowOff>
                  </from>
                  <to>
                    <xdr:col>3</xdr:col>
                    <xdr:colOff>285750</xdr:colOff>
                    <xdr:row>30</xdr:row>
                    <xdr:rowOff>279400</xdr:rowOff>
                  </to>
                </anchor>
              </controlPr>
            </control>
          </mc:Choice>
        </mc:AlternateContent>
        <mc:AlternateContent xmlns:mc="http://schemas.openxmlformats.org/markup-compatibility/2006">
          <mc:Choice Requires="x14">
            <control shapeId="1179" r:id="rId153" name="Check Box 155">
              <controlPr locked="0" defaultSize="0" autoFill="0" autoLine="0" autoPict="0">
                <anchor moveWithCells="1">
                  <from>
                    <xdr:col>4</xdr:col>
                    <xdr:colOff>88900</xdr:colOff>
                    <xdr:row>30</xdr:row>
                    <xdr:rowOff>63500</xdr:rowOff>
                  </from>
                  <to>
                    <xdr:col>4</xdr:col>
                    <xdr:colOff>285750</xdr:colOff>
                    <xdr:row>30</xdr:row>
                    <xdr:rowOff>279400</xdr:rowOff>
                  </to>
                </anchor>
              </controlPr>
            </control>
          </mc:Choice>
        </mc:AlternateContent>
        <mc:AlternateContent xmlns:mc="http://schemas.openxmlformats.org/markup-compatibility/2006">
          <mc:Choice Requires="x14">
            <control shapeId="1180" r:id="rId154" name="Check Box 156">
              <controlPr locked="0" defaultSize="0" autoFill="0" autoLine="0" autoPict="0">
                <anchor moveWithCells="1">
                  <from>
                    <xdr:col>5</xdr:col>
                    <xdr:colOff>88900</xdr:colOff>
                    <xdr:row>30</xdr:row>
                    <xdr:rowOff>63500</xdr:rowOff>
                  </from>
                  <to>
                    <xdr:col>5</xdr:col>
                    <xdr:colOff>285750</xdr:colOff>
                    <xdr:row>30</xdr:row>
                    <xdr:rowOff>279400</xdr:rowOff>
                  </to>
                </anchor>
              </controlPr>
            </control>
          </mc:Choice>
        </mc:AlternateContent>
        <mc:AlternateContent xmlns:mc="http://schemas.openxmlformats.org/markup-compatibility/2006">
          <mc:Choice Requires="x14">
            <control shapeId="1181" r:id="rId155" name="Check Box 157">
              <controlPr locked="0" defaultSize="0" autoFill="0" autoLine="0" autoPict="0">
                <anchor moveWithCells="1">
                  <from>
                    <xdr:col>6</xdr:col>
                    <xdr:colOff>88900</xdr:colOff>
                    <xdr:row>30</xdr:row>
                    <xdr:rowOff>63500</xdr:rowOff>
                  </from>
                  <to>
                    <xdr:col>6</xdr:col>
                    <xdr:colOff>285750</xdr:colOff>
                    <xdr:row>30</xdr:row>
                    <xdr:rowOff>279400</xdr:rowOff>
                  </to>
                </anchor>
              </controlPr>
            </control>
          </mc:Choice>
        </mc:AlternateContent>
        <mc:AlternateContent xmlns:mc="http://schemas.openxmlformats.org/markup-compatibility/2006">
          <mc:Choice Requires="x14">
            <control shapeId="1182" r:id="rId156" name="Check Box 158">
              <controlPr locked="0" defaultSize="0" autoFill="0" autoLine="0" autoPict="0">
                <anchor moveWithCells="1">
                  <from>
                    <xdr:col>7</xdr:col>
                    <xdr:colOff>88900</xdr:colOff>
                    <xdr:row>30</xdr:row>
                    <xdr:rowOff>63500</xdr:rowOff>
                  </from>
                  <to>
                    <xdr:col>7</xdr:col>
                    <xdr:colOff>285750</xdr:colOff>
                    <xdr:row>30</xdr:row>
                    <xdr:rowOff>279400</xdr:rowOff>
                  </to>
                </anchor>
              </controlPr>
            </control>
          </mc:Choice>
        </mc:AlternateContent>
        <mc:AlternateContent xmlns:mc="http://schemas.openxmlformats.org/markup-compatibility/2006">
          <mc:Choice Requires="x14">
            <control shapeId="1183" r:id="rId157" name="Check Box 159">
              <controlPr locked="0" defaultSize="0" autoFill="0" autoLine="0" autoPict="0">
                <anchor moveWithCells="1">
                  <from>
                    <xdr:col>8</xdr:col>
                    <xdr:colOff>88900</xdr:colOff>
                    <xdr:row>30</xdr:row>
                    <xdr:rowOff>63500</xdr:rowOff>
                  </from>
                  <to>
                    <xdr:col>8</xdr:col>
                    <xdr:colOff>285750</xdr:colOff>
                    <xdr:row>30</xdr:row>
                    <xdr:rowOff>279400</xdr:rowOff>
                  </to>
                </anchor>
              </controlPr>
            </control>
          </mc:Choice>
        </mc:AlternateContent>
        <mc:AlternateContent xmlns:mc="http://schemas.openxmlformats.org/markup-compatibility/2006">
          <mc:Choice Requires="x14">
            <control shapeId="1184" r:id="rId158" name="Check Box 160">
              <controlPr locked="0" defaultSize="0" autoFill="0" autoLine="0" autoPict="0">
                <anchor moveWithCells="1">
                  <from>
                    <xdr:col>2</xdr:col>
                    <xdr:colOff>88900</xdr:colOff>
                    <xdr:row>31</xdr:row>
                    <xdr:rowOff>63500</xdr:rowOff>
                  </from>
                  <to>
                    <xdr:col>2</xdr:col>
                    <xdr:colOff>285750</xdr:colOff>
                    <xdr:row>31</xdr:row>
                    <xdr:rowOff>279400</xdr:rowOff>
                  </to>
                </anchor>
              </controlPr>
            </control>
          </mc:Choice>
        </mc:AlternateContent>
        <mc:AlternateContent xmlns:mc="http://schemas.openxmlformats.org/markup-compatibility/2006">
          <mc:Choice Requires="x14">
            <control shapeId="1185" r:id="rId159" name="Check Box 161">
              <controlPr locked="0" defaultSize="0" autoFill="0" autoLine="0" autoPict="0">
                <anchor moveWithCells="1">
                  <from>
                    <xdr:col>3</xdr:col>
                    <xdr:colOff>88900</xdr:colOff>
                    <xdr:row>31</xdr:row>
                    <xdr:rowOff>63500</xdr:rowOff>
                  </from>
                  <to>
                    <xdr:col>3</xdr:col>
                    <xdr:colOff>285750</xdr:colOff>
                    <xdr:row>31</xdr:row>
                    <xdr:rowOff>279400</xdr:rowOff>
                  </to>
                </anchor>
              </controlPr>
            </control>
          </mc:Choice>
        </mc:AlternateContent>
        <mc:AlternateContent xmlns:mc="http://schemas.openxmlformats.org/markup-compatibility/2006">
          <mc:Choice Requires="x14">
            <control shapeId="1186" r:id="rId160" name="Check Box 162">
              <controlPr locked="0" defaultSize="0" autoFill="0" autoLine="0" autoPict="0">
                <anchor moveWithCells="1">
                  <from>
                    <xdr:col>4</xdr:col>
                    <xdr:colOff>88900</xdr:colOff>
                    <xdr:row>31</xdr:row>
                    <xdr:rowOff>63500</xdr:rowOff>
                  </from>
                  <to>
                    <xdr:col>4</xdr:col>
                    <xdr:colOff>285750</xdr:colOff>
                    <xdr:row>31</xdr:row>
                    <xdr:rowOff>279400</xdr:rowOff>
                  </to>
                </anchor>
              </controlPr>
            </control>
          </mc:Choice>
        </mc:AlternateContent>
        <mc:AlternateContent xmlns:mc="http://schemas.openxmlformats.org/markup-compatibility/2006">
          <mc:Choice Requires="x14">
            <control shapeId="1187" r:id="rId161" name="Check Box 163">
              <controlPr locked="0" defaultSize="0" autoFill="0" autoLine="0" autoPict="0">
                <anchor moveWithCells="1">
                  <from>
                    <xdr:col>5</xdr:col>
                    <xdr:colOff>88900</xdr:colOff>
                    <xdr:row>31</xdr:row>
                    <xdr:rowOff>63500</xdr:rowOff>
                  </from>
                  <to>
                    <xdr:col>5</xdr:col>
                    <xdr:colOff>285750</xdr:colOff>
                    <xdr:row>31</xdr:row>
                    <xdr:rowOff>279400</xdr:rowOff>
                  </to>
                </anchor>
              </controlPr>
            </control>
          </mc:Choice>
        </mc:AlternateContent>
        <mc:AlternateContent xmlns:mc="http://schemas.openxmlformats.org/markup-compatibility/2006">
          <mc:Choice Requires="x14">
            <control shapeId="1188" r:id="rId162" name="Check Box 164">
              <controlPr locked="0" defaultSize="0" autoFill="0" autoLine="0" autoPict="0">
                <anchor moveWithCells="1">
                  <from>
                    <xdr:col>6</xdr:col>
                    <xdr:colOff>88900</xdr:colOff>
                    <xdr:row>31</xdr:row>
                    <xdr:rowOff>63500</xdr:rowOff>
                  </from>
                  <to>
                    <xdr:col>6</xdr:col>
                    <xdr:colOff>285750</xdr:colOff>
                    <xdr:row>31</xdr:row>
                    <xdr:rowOff>279400</xdr:rowOff>
                  </to>
                </anchor>
              </controlPr>
            </control>
          </mc:Choice>
        </mc:AlternateContent>
        <mc:AlternateContent xmlns:mc="http://schemas.openxmlformats.org/markup-compatibility/2006">
          <mc:Choice Requires="x14">
            <control shapeId="1189" r:id="rId163" name="Check Box 165">
              <controlPr locked="0" defaultSize="0" autoFill="0" autoLine="0" autoPict="0">
                <anchor moveWithCells="1">
                  <from>
                    <xdr:col>7</xdr:col>
                    <xdr:colOff>88900</xdr:colOff>
                    <xdr:row>31</xdr:row>
                    <xdr:rowOff>63500</xdr:rowOff>
                  </from>
                  <to>
                    <xdr:col>7</xdr:col>
                    <xdr:colOff>285750</xdr:colOff>
                    <xdr:row>31</xdr:row>
                    <xdr:rowOff>279400</xdr:rowOff>
                  </to>
                </anchor>
              </controlPr>
            </control>
          </mc:Choice>
        </mc:AlternateContent>
        <mc:AlternateContent xmlns:mc="http://schemas.openxmlformats.org/markup-compatibility/2006">
          <mc:Choice Requires="x14">
            <control shapeId="1190" r:id="rId164" name="Check Box 166">
              <controlPr locked="0" defaultSize="0" autoFill="0" autoLine="0" autoPict="0">
                <anchor moveWithCells="1">
                  <from>
                    <xdr:col>8</xdr:col>
                    <xdr:colOff>88900</xdr:colOff>
                    <xdr:row>31</xdr:row>
                    <xdr:rowOff>63500</xdr:rowOff>
                  </from>
                  <to>
                    <xdr:col>8</xdr:col>
                    <xdr:colOff>285750</xdr:colOff>
                    <xdr:row>31</xdr:row>
                    <xdr:rowOff>279400</xdr:rowOff>
                  </to>
                </anchor>
              </controlPr>
            </control>
          </mc:Choice>
        </mc:AlternateContent>
        <mc:AlternateContent xmlns:mc="http://schemas.openxmlformats.org/markup-compatibility/2006">
          <mc:Choice Requires="x14">
            <control shapeId="1191" r:id="rId165" name="Check Box 167">
              <controlPr locked="0" defaultSize="0" autoFill="0" autoLine="0" autoPict="0">
                <anchor moveWithCells="1">
                  <from>
                    <xdr:col>2</xdr:col>
                    <xdr:colOff>88900</xdr:colOff>
                    <xdr:row>32</xdr:row>
                    <xdr:rowOff>63500</xdr:rowOff>
                  </from>
                  <to>
                    <xdr:col>2</xdr:col>
                    <xdr:colOff>285750</xdr:colOff>
                    <xdr:row>32</xdr:row>
                    <xdr:rowOff>279400</xdr:rowOff>
                  </to>
                </anchor>
              </controlPr>
            </control>
          </mc:Choice>
        </mc:AlternateContent>
        <mc:AlternateContent xmlns:mc="http://schemas.openxmlformats.org/markup-compatibility/2006">
          <mc:Choice Requires="x14">
            <control shapeId="1192" r:id="rId166" name="Check Box 168">
              <controlPr locked="0" defaultSize="0" autoFill="0" autoLine="0" autoPict="0">
                <anchor moveWithCells="1">
                  <from>
                    <xdr:col>3</xdr:col>
                    <xdr:colOff>88900</xdr:colOff>
                    <xdr:row>32</xdr:row>
                    <xdr:rowOff>63500</xdr:rowOff>
                  </from>
                  <to>
                    <xdr:col>3</xdr:col>
                    <xdr:colOff>285750</xdr:colOff>
                    <xdr:row>32</xdr:row>
                    <xdr:rowOff>279400</xdr:rowOff>
                  </to>
                </anchor>
              </controlPr>
            </control>
          </mc:Choice>
        </mc:AlternateContent>
        <mc:AlternateContent xmlns:mc="http://schemas.openxmlformats.org/markup-compatibility/2006">
          <mc:Choice Requires="x14">
            <control shapeId="1193" r:id="rId167" name="Check Box 169">
              <controlPr locked="0" defaultSize="0" autoFill="0" autoLine="0" autoPict="0">
                <anchor moveWithCells="1">
                  <from>
                    <xdr:col>4</xdr:col>
                    <xdr:colOff>88900</xdr:colOff>
                    <xdr:row>32</xdr:row>
                    <xdr:rowOff>63500</xdr:rowOff>
                  </from>
                  <to>
                    <xdr:col>4</xdr:col>
                    <xdr:colOff>285750</xdr:colOff>
                    <xdr:row>32</xdr:row>
                    <xdr:rowOff>279400</xdr:rowOff>
                  </to>
                </anchor>
              </controlPr>
            </control>
          </mc:Choice>
        </mc:AlternateContent>
        <mc:AlternateContent xmlns:mc="http://schemas.openxmlformats.org/markup-compatibility/2006">
          <mc:Choice Requires="x14">
            <control shapeId="1194" r:id="rId168" name="Check Box 170">
              <controlPr locked="0" defaultSize="0" autoFill="0" autoLine="0" autoPict="0">
                <anchor moveWithCells="1">
                  <from>
                    <xdr:col>5</xdr:col>
                    <xdr:colOff>88900</xdr:colOff>
                    <xdr:row>32</xdr:row>
                    <xdr:rowOff>63500</xdr:rowOff>
                  </from>
                  <to>
                    <xdr:col>5</xdr:col>
                    <xdr:colOff>285750</xdr:colOff>
                    <xdr:row>32</xdr:row>
                    <xdr:rowOff>279400</xdr:rowOff>
                  </to>
                </anchor>
              </controlPr>
            </control>
          </mc:Choice>
        </mc:AlternateContent>
        <mc:AlternateContent xmlns:mc="http://schemas.openxmlformats.org/markup-compatibility/2006">
          <mc:Choice Requires="x14">
            <control shapeId="1195" r:id="rId169" name="Check Box 171">
              <controlPr locked="0" defaultSize="0" autoFill="0" autoLine="0" autoPict="0">
                <anchor moveWithCells="1">
                  <from>
                    <xdr:col>6</xdr:col>
                    <xdr:colOff>88900</xdr:colOff>
                    <xdr:row>32</xdr:row>
                    <xdr:rowOff>63500</xdr:rowOff>
                  </from>
                  <to>
                    <xdr:col>6</xdr:col>
                    <xdr:colOff>285750</xdr:colOff>
                    <xdr:row>32</xdr:row>
                    <xdr:rowOff>279400</xdr:rowOff>
                  </to>
                </anchor>
              </controlPr>
            </control>
          </mc:Choice>
        </mc:AlternateContent>
        <mc:AlternateContent xmlns:mc="http://schemas.openxmlformats.org/markup-compatibility/2006">
          <mc:Choice Requires="x14">
            <control shapeId="1196" r:id="rId170" name="Check Box 172">
              <controlPr locked="0" defaultSize="0" autoFill="0" autoLine="0" autoPict="0">
                <anchor moveWithCells="1">
                  <from>
                    <xdr:col>7</xdr:col>
                    <xdr:colOff>88900</xdr:colOff>
                    <xdr:row>32</xdr:row>
                    <xdr:rowOff>63500</xdr:rowOff>
                  </from>
                  <to>
                    <xdr:col>7</xdr:col>
                    <xdr:colOff>285750</xdr:colOff>
                    <xdr:row>32</xdr:row>
                    <xdr:rowOff>279400</xdr:rowOff>
                  </to>
                </anchor>
              </controlPr>
            </control>
          </mc:Choice>
        </mc:AlternateContent>
        <mc:AlternateContent xmlns:mc="http://schemas.openxmlformats.org/markup-compatibility/2006">
          <mc:Choice Requires="x14">
            <control shapeId="1197" r:id="rId171" name="Check Box 173">
              <controlPr locked="0" defaultSize="0" autoFill="0" autoLine="0" autoPict="0">
                <anchor moveWithCells="1">
                  <from>
                    <xdr:col>8</xdr:col>
                    <xdr:colOff>88900</xdr:colOff>
                    <xdr:row>32</xdr:row>
                    <xdr:rowOff>63500</xdr:rowOff>
                  </from>
                  <to>
                    <xdr:col>8</xdr:col>
                    <xdr:colOff>285750</xdr:colOff>
                    <xdr:row>32</xdr:row>
                    <xdr:rowOff>279400</xdr:rowOff>
                  </to>
                </anchor>
              </controlPr>
            </control>
          </mc:Choice>
        </mc:AlternateContent>
        <mc:AlternateContent xmlns:mc="http://schemas.openxmlformats.org/markup-compatibility/2006">
          <mc:Choice Requires="x14">
            <control shapeId="1198" r:id="rId172" name="Check Box 174">
              <controlPr locked="0" defaultSize="0" autoFill="0" autoLine="0" autoPict="0">
                <anchor moveWithCells="1">
                  <from>
                    <xdr:col>2</xdr:col>
                    <xdr:colOff>88900</xdr:colOff>
                    <xdr:row>33</xdr:row>
                    <xdr:rowOff>63500</xdr:rowOff>
                  </from>
                  <to>
                    <xdr:col>2</xdr:col>
                    <xdr:colOff>285750</xdr:colOff>
                    <xdr:row>33</xdr:row>
                    <xdr:rowOff>279400</xdr:rowOff>
                  </to>
                </anchor>
              </controlPr>
            </control>
          </mc:Choice>
        </mc:AlternateContent>
        <mc:AlternateContent xmlns:mc="http://schemas.openxmlformats.org/markup-compatibility/2006">
          <mc:Choice Requires="x14">
            <control shapeId="1199" r:id="rId173" name="Check Box 175">
              <controlPr locked="0" defaultSize="0" autoFill="0" autoLine="0" autoPict="0">
                <anchor moveWithCells="1">
                  <from>
                    <xdr:col>3</xdr:col>
                    <xdr:colOff>88900</xdr:colOff>
                    <xdr:row>33</xdr:row>
                    <xdr:rowOff>63500</xdr:rowOff>
                  </from>
                  <to>
                    <xdr:col>3</xdr:col>
                    <xdr:colOff>285750</xdr:colOff>
                    <xdr:row>33</xdr:row>
                    <xdr:rowOff>279400</xdr:rowOff>
                  </to>
                </anchor>
              </controlPr>
            </control>
          </mc:Choice>
        </mc:AlternateContent>
        <mc:AlternateContent xmlns:mc="http://schemas.openxmlformats.org/markup-compatibility/2006">
          <mc:Choice Requires="x14">
            <control shapeId="1200" r:id="rId174" name="Check Box 176">
              <controlPr locked="0" defaultSize="0" autoFill="0" autoLine="0" autoPict="0">
                <anchor moveWithCells="1">
                  <from>
                    <xdr:col>4</xdr:col>
                    <xdr:colOff>88900</xdr:colOff>
                    <xdr:row>33</xdr:row>
                    <xdr:rowOff>63500</xdr:rowOff>
                  </from>
                  <to>
                    <xdr:col>4</xdr:col>
                    <xdr:colOff>285750</xdr:colOff>
                    <xdr:row>33</xdr:row>
                    <xdr:rowOff>279400</xdr:rowOff>
                  </to>
                </anchor>
              </controlPr>
            </control>
          </mc:Choice>
        </mc:AlternateContent>
        <mc:AlternateContent xmlns:mc="http://schemas.openxmlformats.org/markup-compatibility/2006">
          <mc:Choice Requires="x14">
            <control shapeId="1201" r:id="rId175" name="Check Box 177">
              <controlPr locked="0" defaultSize="0" autoFill="0" autoLine="0" autoPict="0">
                <anchor moveWithCells="1">
                  <from>
                    <xdr:col>5</xdr:col>
                    <xdr:colOff>88900</xdr:colOff>
                    <xdr:row>33</xdr:row>
                    <xdr:rowOff>63500</xdr:rowOff>
                  </from>
                  <to>
                    <xdr:col>5</xdr:col>
                    <xdr:colOff>285750</xdr:colOff>
                    <xdr:row>33</xdr:row>
                    <xdr:rowOff>279400</xdr:rowOff>
                  </to>
                </anchor>
              </controlPr>
            </control>
          </mc:Choice>
        </mc:AlternateContent>
        <mc:AlternateContent xmlns:mc="http://schemas.openxmlformats.org/markup-compatibility/2006">
          <mc:Choice Requires="x14">
            <control shapeId="1202" r:id="rId176" name="Check Box 178">
              <controlPr locked="0" defaultSize="0" autoFill="0" autoLine="0" autoPict="0">
                <anchor moveWithCells="1">
                  <from>
                    <xdr:col>6</xdr:col>
                    <xdr:colOff>88900</xdr:colOff>
                    <xdr:row>33</xdr:row>
                    <xdr:rowOff>63500</xdr:rowOff>
                  </from>
                  <to>
                    <xdr:col>6</xdr:col>
                    <xdr:colOff>285750</xdr:colOff>
                    <xdr:row>33</xdr:row>
                    <xdr:rowOff>279400</xdr:rowOff>
                  </to>
                </anchor>
              </controlPr>
            </control>
          </mc:Choice>
        </mc:AlternateContent>
        <mc:AlternateContent xmlns:mc="http://schemas.openxmlformats.org/markup-compatibility/2006">
          <mc:Choice Requires="x14">
            <control shapeId="1203" r:id="rId177" name="Check Box 179">
              <controlPr locked="0" defaultSize="0" autoFill="0" autoLine="0" autoPict="0">
                <anchor moveWithCells="1">
                  <from>
                    <xdr:col>7</xdr:col>
                    <xdr:colOff>88900</xdr:colOff>
                    <xdr:row>33</xdr:row>
                    <xdr:rowOff>63500</xdr:rowOff>
                  </from>
                  <to>
                    <xdr:col>7</xdr:col>
                    <xdr:colOff>285750</xdr:colOff>
                    <xdr:row>33</xdr:row>
                    <xdr:rowOff>279400</xdr:rowOff>
                  </to>
                </anchor>
              </controlPr>
            </control>
          </mc:Choice>
        </mc:AlternateContent>
        <mc:AlternateContent xmlns:mc="http://schemas.openxmlformats.org/markup-compatibility/2006">
          <mc:Choice Requires="x14">
            <control shapeId="1204" r:id="rId178" name="Check Box 180">
              <controlPr locked="0" defaultSize="0" autoFill="0" autoLine="0" autoPict="0">
                <anchor moveWithCells="1">
                  <from>
                    <xdr:col>8</xdr:col>
                    <xdr:colOff>88900</xdr:colOff>
                    <xdr:row>33</xdr:row>
                    <xdr:rowOff>63500</xdr:rowOff>
                  </from>
                  <to>
                    <xdr:col>8</xdr:col>
                    <xdr:colOff>285750</xdr:colOff>
                    <xdr:row>33</xdr:row>
                    <xdr:rowOff>279400</xdr:rowOff>
                  </to>
                </anchor>
              </controlPr>
            </control>
          </mc:Choice>
        </mc:AlternateContent>
        <mc:AlternateContent xmlns:mc="http://schemas.openxmlformats.org/markup-compatibility/2006">
          <mc:Choice Requires="x14">
            <control shapeId="1205" r:id="rId179" name="Check Box 181">
              <controlPr locked="0" defaultSize="0" autoFill="0" autoLine="0" autoPict="0">
                <anchor moveWithCells="1">
                  <from>
                    <xdr:col>2</xdr:col>
                    <xdr:colOff>88900</xdr:colOff>
                    <xdr:row>35</xdr:row>
                    <xdr:rowOff>63500</xdr:rowOff>
                  </from>
                  <to>
                    <xdr:col>2</xdr:col>
                    <xdr:colOff>285750</xdr:colOff>
                    <xdr:row>35</xdr:row>
                    <xdr:rowOff>279400</xdr:rowOff>
                  </to>
                </anchor>
              </controlPr>
            </control>
          </mc:Choice>
        </mc:AlternateContent>
        <mc:AlternateContent xmlns:mc="http://schemas.openxmlformats.org/markup-compatibility/2006">
          <mc:Choice Requires="x14">
            <control shapeId="1206" r:id="rId180" name="Check Box 182">
              <controlPr locked="0" defaultSize="0" autoFill="0" autoLine="0" autoPict="0">
                <anchor moveWithCells="1">
                  <from>
                    <xdr:col>3</xdr:col>
                    <xdr:colOff>88900</xdr:colOff>
                    <xdr:row>35</xdr:row>
                    <xdr:rowOff>63500</xdr:rowOff>
                  </from>
                  <to>
                    <xdr:col>3</xdr:col>
                    <xdr:colOff>285750</xdr:colOff>
                    <xdr:row>35</xdr:row>
                    <xdr:rowOff>279400</xdr:rowOff>
                  </to>
                </anchor>
              </controlPr>
            </control>
          </mc:Choice>
        </mc:AlternateContent>
        <mc:AlternateContent xmlns:mc="http://schemas.openxmlformats.org/markup-compatibility/2006">
          <mc:Choice Requires="x14">
            <control shapeId="1207" r:id="rId181" name="Check Box 183">
              <controlPr locked="0" defaultSize="0" autoFill="0" autoLine="0" autoPict="0">
                <anchor moveWithCells="1">
                  <from>
                    <xdr:col>4</xdr:col>
                    <xdr:colOff>88900</xdr:colOff>
                    <xdr:row>35</xdr:row>
                    <xdr:rowOff>63500</xdr:rowOff>
                  </from>
                  <to>
                    <xdr:col>4</xdr:col>
                    <xdr:colOff>285750</xdr:colOff>
                    <xdr:row>35</xdr:row>
                    <xdr:rowOff>279400</xdr:rowOff>
                  </to>
                </anchor>
              </controlPr>
            </control>
          </mc:Choice>
        </mc:AlternateContent>
        <mc:AlternateContent xmlns:mc="http://schemas.openxmlformats.org/markup-compatibility/2006">
          <mc:Choice Requires="x14">
            <control shapeId="1208" r:id="rId182" name="Check Box 184">
              <controlPr locked="0" defaultSize="0" autoFill="0" autoLine="0" autoPict="0">
                <anchor moveWithCells="1">
                  <from>
                    <xdr:col>5</xdr:col>
                    <xdr:colOff>88900</xdr:colOff>
                    <xdr:row>35</xdr:row>
                    <xdr:rowOff>63500</xdr:rowOff>
                  </from>
                  <to>
                    <xdr:col>5</xdr:col>
                    <xdr:colOff>285750</xdr:colOff>
                    <xdr:row>35</xdr:row>
                    <xdr:rowOff>279400</xdr:rowOff>
                  </to>
                </anchor>
              </controlPr>
            </control>
          </mc:Choice>
        </mc:AlternateContent>
        <mc:AlternateContent xmlns:mc="http://schemas.openxmlformats.org/markup-compatibility/2006">
          <mc:Choice Requires="x14">
            <control shapeId="1209" r:id="rId183" name="Check Box 185">
              <controlPr locked="0" defaultSize="0" autoFill="0" autoLine="0" autoPict="0">
                <anchor moveWithCells="1">
                  <from>
                    <xdr:col>6</xdr:col>
                    <xdr:colOff>88900</xdr:colOff>
                    <xdr:row>35</xdr:row>
                    <xdr:rowOff>63500</xdr:rowOff>
                  </from>
                  <to>
                    <xdr:col>6</xdr:col>
                    <xdr:colOff>285750</xdr:colOff>
                    <xdr:row>35</xdr:row>
                    <xdr:rowOff>279400</xdr:rowOff>
                  </to>
                </anchor>
              </controlPr>
            </control>
          </mc:Choice>
        </mc:AlternateContent>
        <mc:AlternateContent xmlns:mc="http://schemas.openxmlformats.org/markup-compatibility/2006">
          <mc:Choice Requires="x14">
            <control shapeId="1210" r:id="rId184" name="Check Box 186">
              <controlPr locked="0" defaultSize="0" autoFill="0" autoLine="0" autoPict="0">
                <anchor moveWithCells="1">
                  <from>
                    <xdr:col>7</xdr:col>
                    <xdr:colOff>88900</xdr:colOff>
                    <xdr:row>35</xdr:row>
                    <xdr:rowOff>63500</xdr:rowOff>
                  </from>
                  <to>
                    <xdr:col>7</xdr:col>
                    <xdr:colOff>285750</xdr:colOff>
                    <xdr:row>35</xdr:row>
                    <xdr:rowOff>279400</xdr:rowOff>
                  </to>
                </anchor>
              </controlPr>
            </control>
          </mc:Choice>
        </mc:AlternateContent>
        <mc:AlternateContent xmlns:mc="http://schemas.openxmlformats.org/markup-compatibility/2006">
          <mc:Choice Requires="x14">
            <control shapeId="1211" r:id="rId185" name="Check Box 187">
              <controlPr locked="0" defaultSize="0" autoFill="0" autoLine="0" autoPict="0">
                <anchor moveWithCells="1">
                  <from>
                    <xdr:col>8</xdr:col>
                    <xdr:colOff>88900</xdr:colOff>
                    <xdr:row>35</xdr:row>
                    <xdr:rowOff>63500</xdr:rowOff>
                  </from>
                  <to>
                    <xdr:col>8</xdr:col>
                    <xdr:colOff>285750</xdr:colOff>
                    <xdr:row>35</xdr:row>
                    <xdr:rowOff>279400</xdr:rowOff>
                  </to>
                </anchor>
              </controlPr>
            </control>
          </mc:Choice>
        </mc:AlternateContent>
        <mc:AlternateContent xmlns:mc="http://schemas.openxmlformats.org/markup-compatibility/2006">
          <mc:Choice Requires="x14">
            <control shapeId="1212" r:id="rId186" name="Check Box 188">
              <controlPr locked="0" defaultSize="0" autoFill="0" autoLine="0" autoPict="0">
                <anchor moveWithCells="1">
                  <from>
                    <xdr:col>2</xdr:col>
                    <xdr:colOff>88900</xdr:colOff>
                    <xdr:row>36</xdr:row>
                    <xdr:rowOff>63500</xdr:rowOff>
                  </from>
                  <to>
                    <xdr:col>2</xdr:col>
                    <xdr:colOff>285750</xdr:colOff>
                    <xdr:row>36</xdr:row>
                    <xdr:rowOff>279400</xdr:rowOff>
                  </to>
                </anchor>
              </controlPr>
            </control>
          </mc:Choice>
        </mc:AlternateContent>
        <mc:AlternateContent xmlns:mc="http://schemas.openxmlformats.org/markup-compatibility/2006">
          <mc:Choice Requires="x14">
            <control shapeId="1213" r:id="rId187" name="Check Box 189">
              <controlPr locked="0" defaultSize="0" autoFill="0" autoLine="0" autoPict="0">
                <anchor moveWithCells="1">
                  <from>
                    <xdr:col>3</xdr:col>
                    <xdr:colOff>88900</xdr:colOff>
                    <xdr:row>36</xdr:row>
                    <xdr:rowOff>63500</xdr:rowOff>
                  </from>
                  <to>
                    <xdr:col>3</xdr:col>
                    <xdr:colOff>285750</xdr:colOff>
                    <xdr:row>36</xdr:row>
                    <xdr:rowOff>279400</xdr:rowOff>
                  </to>
                </anchor>
              </controlPr>
            </control>
          </mc:Choice>
        </mc:AlternateContent>
        <mc:AlternateContent xmlns:mc="http://schemas.openxmlformats.org/markup-compatibility/2006">
          <mc:Choice Requires="x14">
            <control shapeId="1214" r:id="rId188" name="Check Box 190">
              <controlPr locked="0" defaultSize="0" autoFill="0" autoLine="0" autoPict="0">
                <anchor moveWithCells="1">
                  <from>
                    <xdr:col>4</xdr:col>
                    <xdr:colOff>88900</xdr:colOff>
                    <xdr:row>36</xdr:row>
                    <xdr:rowOff>63500</xdr:rowOff>
                  </from>
                  <to>
                    <xdr:col>4</xdr:col>
                    <xdr:colOff>285750</xdr:colOff>
                    <xdr:row>36</xdr:row>
                    <xdr:rowOff>279400</xdr:rowOff>
                  </to>
                </anchor>
              </controlPr>
            </control>
          </mc:Choice>
        </mc:AlternateContent>
        <mc:AlternateContent xmlns:mc="http://schemas.openxmlformats.org/markup-compatibility/2006">
          <mc:Choice Requires="x14">
            <control shapeId="1215" r:id="rId189" name="Check Box 191">
              <controlPr locked="0" defaultSize="0" autoFill="0" autoLine="0" autoPict="0">
                <anchor moveWithCells="1">
                  <from>
                    <xdr:col>5</xdr:col>
                    <xdr:colOff>88900</xdr:colOff>
                    <xdr:row>36</xdr:row>
                    <xdr:rowOff>63500</xdr:rowOff>
                  </from>
                  <to>
                    <xdr:col>5</xdr:col>
                    <xdr:colOff>285750</xdr:colOff>
                    <xdr:row>36</xdr:row>
                    <xdr:rowOff>279400</xdr:rowOff>
                  </to>
                </anchor>
              </controlPr>
            </control>
          </mc:Choice>
        </mc:AlternateContent>
        <mc:AlternateContent xmlns:mc="http://schemas.openxmlformats.org/markup-compatibility/2006">
          <mc:Choice Requires="x14">
            <control shapeId="1216" r:id="rId190" name="Check Box 192">
              <controlPr locked="0" defaultSize="0" autoFill="0" autoLine="0" autoPict="0">
                <anchor moveWithCells="1">
                  <from>
                    <xdr:col>6</xdr:col>
                    <xdr:colOff>88900</xdr:colOff>
                    <xdr:row>36</xdr:row>
                    <xdr:rowOff>63500</xdr:rowOff>
                  </from>
                  <to>
                    <xdr:col>6</xdr:col>
                    <xdr:colOff>285750</xdr:colOff>
                    <xdr:row>36</xdr:row>
                    <xdr:rowOff>279400</xdr:rowOff>
                  </to>
                </anchor>
              </controlPr>
            </control>
          </mc:Choice>
        </mc:AlternateContent>
        <mc:AlternateContent xmlns:mc="http://schemas.openxmlformats.org/markup-compatibility/2006">
          <mc:Choice Requires="x14">
            <control shapeId="1217" r:id="rId191" name="Check Box 193">
              <controlPr locked="0" defaultSize="0" autoFill="0" autoLine="0" autoPict="0">
                <anchor moveWithCells="1">
                  <from>
                    <xdr:col>7</xdr:col>
                    <xdr:colOff>88900</xdr:colOff>
                    <xdr:row>36</xdr:row>
                    <xdr:rowOff>63500</xdr:rowOff>
                  </from>
                  <to>
                    <xdr:col>7</xdr:col>
                    <xdr:colOff>285750</xdr:colOff>
                    <xdr:row>36</xdr:row>
                    <xdr:rowOff>279400</xdr:rowOff>
                  </to>
                </anchor>
              </controlPr>
            </control>
          </mc:Choice>
        </mc:AlternateContent>
        <mc:AlternateContent xmlns:mc="http://schemas.openxmlformats.org/markup-compatibility/2006">
          <mc:Choice Requires="x14">
            <control shapeId="1218" r:id="rId192" name="Check Box 194">
              <controlPr locked="0" defaultSize="0" autoFill="0" autoLine="0" autoPict="0">
                <anchor moveWithCells="1">
                  <from>
                    <xdr:col>8</xdr:col>
                    <xdr:colOff>88900</xdr:colOff>
                    <xdr:row>36</xdr:row>
                    <xdr:rowOff>63500</xdr:rowOff>
                  </from>
                  <to>
                    <xdr:col>8</xdr:col>
                    <xdr:colOff>285750</xdr:colOff>
                    <xdr:row>36</xdr:row>
                    <xdr:rowOff>279400</xdr:rowOff>
                  </to>
                </anchor>
              </controlPr>
            </control>
          </mc:Choice>
        </mc:AlternateContent>
        <mc:AlternateContent xmlns:mc="http://schemas.openxmlformats.org/markup-compatibility/2006">
          <mc:Choice Requires="x14">
            <control shapeId="1219" r:id="rId193" name="Check Box 195">
              <controlPr locked="0" defaultSize="0" autoFill="0" autoLine="0" autoPict="0">
                <anchor moveWithCells="1">
                  <from>
                    <xdr:col>2</xdr:col>
                    <xdr:colOff>88900</xdr:colOff>
                    <xdr:row>37</xdr:row>
                    <xdr:rowOff>63500</xdr:rowOff>
                  </from>
                  <to>
                    <xdr:col>2</xdr:col>
                    <xdr:colOff>285750</xdr:colOff>
                    <xdr:row>37</xdr:row>
                    <xdr:rowOff>279400</xdr:rowOff>
                  </to>
                </anchor>
              </controlPr>
            </control>
          </mc:Choice>
        </mc:AlternateContent>
        <mc:AlternateContent xmlns:mc="http://schemas.openxmlformats.org/markup-compatibility/2006">
          <mc:Choice Requires="x14">
            <control shapeId="1220" r:id="rId194" name="Check Box 196">
              <controlPr locked="0" defaultSize="0" autoFill="0" autoLine="0" autoPict="0">
                <anchor moveWithCells="1">
                  <from>
                    <xdr:col>3</xdr:col>
                    <xdr:colOff>88900</xdr:colOff>
                    <xdr:row>37</xdr:row>
                    <xdr:rowOff>63500</xdr:rowOff>
                  </from>
                  <to>
                    <xdr:col>3</xdr:col>
                    <xdr:colOff>285750</xdr:colOff>
                    <xdr:row>37</xdr:row>
                    <xdr:rowOff>279400</xdr:rowOff>
                  </to>
                </anchor>
              </controlPr>
            </control>
          </mc:Choice>
        </mc:AlternateContent>
        <mc:AlternateContent xmlns:mc="http://schemas.openxmlformats.org/markup-compatibility/2006">
          <mc:Choice Requires="x14">
            <control shapeId="1221" r:id="rId195" name="Check Box 197">
              <controlPr locked="0" defaultSize="0" autoFill="0" autoLine="0" autoPict="0">
                <anchor moveWithCells="1">
                  <from>
                    <xdr:col>4</xdr:col>
                    <xdr:colOff>88900</xdr:colOff>
                    <xdr:row>37</xdr:row>
                    <xdr:rowOff>63500</xdr:rowOff>
                  </from>
                  <to>
                    <xdr:col>4</xdr:col>
                    <xdr:colOff>285750</xdr:colOff>
                    <xdr:row>37</xdr:row>
                    <xdr:rowOff>279400</xdr:rowOff>
                  </to>
                </anchor>
              </controlPr>
            </control>
          </mc:Choice>
        </mc:AlternateContent>
        <mc:AlternateContent xmlns:mc="http://schemas.openxmlformats.org/markup-compatibility/2006">
          <mc:Choice Requires="x14">
            <control shapeId="1222" r:id="rId196" name="Check Box 198">
              <controlPr locked="0" defaultSize="0" autoFill="0" autoLine="0" autoPict="0">
                <anchor moveWithCells="1">
                  <from>
                    <xdr:col>5</xdr:col>
                    <xdr:colOff>88900</xdr:colOff>
                    <xdr:row>37</xdr:row>
                    <xdr:rowOff>63500</xdr:rowOff>
                  </from>
                  <to>
                    <xdr:col>5</xdr:col>
                    <xdr:colOff>285750</xdr:colOff>
                    <xdr:row>37</xdr:row>
                    <xdr:rowOff>279400</xdr:rowOff>
                  </to>
                </anchor>
              </controlPr>
            </control>
          </mc:Choice>
        </mc:AlternateContent>
        <mc:AlternateContent xmlns:mc="http://schemas.openxmlformats.org/markup-compatibility/2006">
          <mc:Choice Requires="x14">
            <control shapeId="1223" r:id="rId197" name="Check Box 199">
              <controlPr locked="0" defaultSize="0" autoFill="0" autoLine="0" autoPict="0">
                <anchor moveWithCells="1">
                  <from>
                    <xdr:col>6</xdr:col>
                    <xdr:colOff>88900</xdr:colOff>
                    <xdr:row>37</xdr:row>
                    <xdr:rowOff>63500</xdr:rowOff>
                  </from>
                  <to>
                    <xdr:col>6</xdr:col>
                    <xdr:colOff>285750</xdr:colOff>
                    <xdr:row>37</xdr:row>
                    <xdr:rowOff>279400</xdr:rowOff>
                  </to>
                </anchor>
              </controlPr>
            </control>
          </mc:Choice>
        </mc:AlternateContent>
        <mc:AlternateContent xmlns:mc="http://schemas.openxmlformats.org/markup-compatibility/2006">
          <mc:Choice Requires="x14">
            <control shapeId="1224" r:id="rId198" name="Check Box 200">
              <controlPr locked="0" defaultSize="0" autoFill="0" autoLine="0" autoPict="0">
                <anchor moveWithCells="1">
                  <from>
                    <xdr:col>7</xdr:col>
                    <xdr:colOff>88900</xdr:colOff>
                    <xdr:row>37</xdr:row>
                    <xdr:rowOff>63500</xdr:rowOff>
                  </from>
                  <to>
                    <xdr:col>7</xdr:col>
                    <xdr:colOff>285750</xdr:colOff>
                    <xdr:row>37</xdr:row>
                    <xdr:rowOff>279400</xdr:rowOff>
                  </to>
                </anchor>
              </controlPr>
            </control>
          </mc:Choice>
        </mc:AlternateContent>
        <mc:AlternateContent xmlns:mc="http://schemas.openxmlformats.org/markup-compatibility/2006">
          <mc:Choice Requires="x14">
            <control shapeId="1225" r:id="rId199" name="Check Box 201">
              <controlPr locked="0" defaultSize="0" autoFill="0" autoLine="0" autoPict="0">
                <anchor moveWithCells="1">
                  <from>
                    <xdr:col>8</xdr:col>
                    <xdr:colOff>88900</xdr:colOff>
                    <xdr:row>37</xdr:row>
                    <xdr:rowOff>63500</xdr:rowOff>
                  </from>
                  <to>
                    <xdr:col>8</xdr:col>
                    <xdr:colOff>285750</xdr:colOff>
                    <xdr:row>37</xdr:row>
                    <xdr:rowOff>279400</xdr:rowOff>
                  </to>
                </anchor>
              </controlPr>
            </control>
          </mc:Choice>
        </mc:AlternateContent>
        <mc:AlternateContent xmlns:mc="http://schemas.openxmlformats.org/markup-compatibility/2006">
          <mc:Choice Requires="x14">
            <control shapeId="1226" r:id="rId200" name="Check Box 202">
              <controlPr locked="0" defaultSize="0" autoFill="0" autoLine="0" autoPict="0">
                <anchor moveWithCells="1">
                  <from>
                    <xdr:col>2</xdr:col>
                    <xdr:colOff>88900</xdr:colOff>
                    <xdr:row>38</xdr:row>
                    <xdr:rowOff>63500</xdr:rowOff>
                  </from>
                  <to>
                    <xdr:col>2</xdr:col>
                    <xdr:colOff>285750</xdr:colOff>
                    <xdr:row>38</xdr:row>
                    <xdr:rowOff>279400</xdr:rowOff>
                  </to>
                </anchor>
              </controlPr>
            </control>
          </mc:Choice>
        </mc:AlternateContent>
        <mc:AlternateContent xmlns:mc="http://schemas.openxmlformats.org/markup-compatibility/2006">
          <mc:Choice Requires="x14">
            <control shapeId="1227" r:id="rId201" name="Check Box 203">
              <controlPr locked="0" defaultSize="0" autoFill="0" autoLine="0" autoPict="0">
                <anchor moveWithCells="1">
                  <from>
                    <xdr:col>3</xdr:col>
                    <xdr:colOff>88900</xdr:colOff>
                    <xdr:row>38</xdr:row>
                    <xdr:rowOff>63500</xdr:rowOff>
                  </from>
                  <to>
                    <xdr:col>3</xdr:col>
                    <xdr:colOff>285750</xdr:colOff>
                    <xdr:row>38</xdr:row>
                    <xdr:rowOff>279400</xdr:rowOff>
                  </to>
                </anchor>
              </controlPr>
            </control>
          </mc:Choice>
        </mc:AlternateContent>
        <mc:AlternateContent xmlns:mc="http://schemas.openxmlformats.org/markup-compatibility/2006">
          <mc:Choice Requires="x14">
            <control shapeId="1228" r:id="rId202" name="Check Box 204">
              <controlPr locked="0" defaultSize="0" autoFill="0" autoLine="0" autoPict="0">
                <anchor moveWithCells="1">
                  <from>
                    <xdr:col>4</xdr:col>
                    <xdr:colOff>88900</xdr:colOff>
                    <xdr:row>38</xdr:row>
                    <xdr:rowOff>63500</xdr:rowOff>
                  </from>
                  <to>
                    <xdr:col>4</xdr:col>
                    <xdr:colOff>285750</xdr:colOff>
                    <xdr:row>38</xdr:row>
                    <xdr:rowOff>279400</xdr:rowOff>
                  </to>
                </anchor>
              </controlPr>
            </control>
          </mc:Choice>
        </mc:AlternateContent>
        <mc:AlternateContent xmlns:mc="http://schemas.openxmlformats.org/markup-compatibility/2006">
          <mc:Choice Requires="x14">
            <control shapeId="1229" r:id="rId203" name="Check Box 205">
              <controlPr locked="0" defaultSize="0" autoFill="0" autoLine="0" autoPict="0">
                <anchor moveWithCells="1">
                  <from>
                    <xdr:col>5</xdr:col>
                    <xdr:colOff>88900</xdr:colOff>
                    <xdr:row>38</xdr:row>
                    <xdr:rowOff>63500</xdr:rowOff>
                  </from>
                  <to>
                    <xdr:col>5</xdr:col>
                    <xdr:colOff>285750</xdr:colOff>
                    <xdr:row>38</xdr:row>
                    <xdr:rowOff>279400</xdr:rowOff>
                  </to>
                </anchor>
              </controlPr>
            </control>
          </mc:Choice>
        </mc:AlternateContent>
        <mc:AlternateContent xmlns:mc="http://schemas.openxmlformats.org/markup-compatibility/2006">
          <mc:Choice Requires="x14">
            <control shapeId="1230" r:id="rId204" name="Check Box 206">
              <controlPr locked="0" defaultSize="0" autoFill="0" autoLine="0" autoPict="0">
                <anchor moveWithCells="1">
                  <from>
                    <xdr:col>6</xdr:col>
                    <xdr:colOff>88900</xdr:colOff>
                    <xdr:row>38</xdr:row>
                    <xdr:rowOff>63500</xdr:rowOff>
                  </from>
                  <to>
                    <xdr:col>6</xdr:col>
                    <xdr:colOff>285750</xdr:colOff>
                    <xdr:row>38</xdr:row>
                    <xdr:rowOff>279400</xdr:rowOff>
                  </to>
                </anchor>
              </controlPr>
            </control>
          </mc:Choice>
        </mc:AlternateContent>
        <mc:AlternateContent xmlns:mc="http://schemas.openxmlformats.org/markup-compatibility/2006">
          <mc:Choice Requires="x14">
            <control shapeId="1231" r:id="rId205" name="Check Box 207">
              <controlPr locked="0" defaultSize="0" autoFill="0" autoLine="0" autoPict="0">
                <anchor moveWithCells="1">
                  <from>
                    <xdr:col>7</xdr:col>
                    <xdr:colOff>88900</xdr:colOff>
                    <xdr:row>38</xdr:row>
                    <xdr:rowOff>63500</xdr:rowOff>
                  </from>
                  <to>
                    <xdr:col>7</xdr:col>
                    <xdr:colOff>285750</xdr:colOff>
                    <xdr:row>38</xdr:row>
                    <xdr:rowOff>279400</xdr:rowOff>
                  </to>
                </anchor>
              </controlPr>
            </control>
          </mc:Choice>
        </mc:AlternateContent>
        <mc:AlternateContent xmlns:mc="http://schemas.openxmlformats.org/markup-compatibility/2006">
          <mc:Choice Requires="x14">
            <control shapeId="1232" r:id="rId206" name="Check Box 208">
              <controlPr locked="0" defaultSize="0" autoFill="0" autoLine="0" autoPict="0">
                <anchor moveWithCells="1">
                  <from>
                    <xdr:col>8</xdr:col>
                    <xdr:colOff>88900</xdr:colOff>
                    <xdr:row>38</xdr:row>
                    <xdr:rowOff>63500</xdr:rowOff>
                  </from>
                  <to>
                    <xdr:col>8</xdr:col>
                    <xdr:colOff>285750</xdr:colOff>
                    <xdr:row>38</xdr:row>
                    <xdr:rowOff>279400</xdr:rowOff>
                  </to>
                </anchor>
              </controlPr>
            </control>
          </mc:Choice>
        </mc:AlternateContent>
        <mc:AlternateContent xmlns:mc="http://schemas.openxmlformats.org/markup-compatibility/2006">
          <mc:Choice Requires="x14">
            <control shapeId="1233" r:id="rId207" name="Check Box 209">
              <controlPr locked="0" defaultSize="0" autoFill="0" autoLine="0" autoPict="0">
                <anchor moveWithCells="1">
                  <from>
                    <xdr:col>2</xdr:col>
                    <xdr:colOff>88900</xdr:colOff>
                    <xdr:row>39</xdr:row>
                    <xdr:rowOff>63500</xdr:rowOff>
                  </from>
                  <to>
                    <xdr:col>2</xdr:col>
                    <xdr:colOff>285750</xdr:colOff>
                    <xdr:row>39</xdr:row>
                    <xdr:rowOff>279400</xdr:rowOff>
                  </to>
                </anchor>
              </controlPr>
            </control>
          </mc:Choice>
        </mc:AlternateContent>
        <mc:AlternateContent xmlns:mc="http://schemas.openxmlformats.org/markup-compatibility/2006">
          <mc:Choice Requires="x14">
            <control shapeId="1234" r:id="rId208" name="Check Box 210">
              <controlPr locked="0" defaultSize="0" autoFill="0" autoLine="0" autoPict="0">
                <anchor moveWithCells="1">
                  <from>
                    <xdr:col>3</xdr:col>
                    <xdr:colOff>88900</xdr:colOff>
                    <xdr:row>39</xdr:row>
                    <xdr:rowOff>63500</xdr:rowOff>
                  </from>
                  <to>
                    <xdr:col>3</xdr:col>
                    <xdr:colOff>285750</xdr:colOff>
                    <xdr:row>39</xdr:row>
                    <xdr:rowOff>279400</xdr:rowOff>
                  </to>
                </anchor>
              </controlPr>
            </control>
          </mc:Choice>
        </mc:AlternateContent>
        <mc:AlternateContent xmlns:mc="http://schemas.openxmlformats.org/markup-compatibility/2006">
          <mc:Choice Requires="x14">
            <control shapeId="1235" r:id="rId209" name="Check Box 211">
              <controlPr locked="0" defaultSize="0" autoFill="0" autoLine="0" autoPict="0">
                <anchor moveWithCells="1">
                  <from>
                    <xdr:col>4</xdr:col>
                    <xdr:colOff>88900</xdr:colOff>
                    <xdr:row>39</xdr:row>
                    <xdr:rowOff>63500</xdr:rowOff>
                  </from>
                  <to>
                    <xdr:col>4</xdr:col>
                    <xdr:colOff>285750</xdr:colOff>
                    <xdr:row>39</xdr:row>
                    <xdr:rowOff>279400</xdr:rowOff>
                  </to>
                </anchor>
              </controlPr>
            </control>
          </mc:Choice>
        </mc:AlternateContent>
        <mc:AlternateContent xmlns:mc="http://schemas.openxmlformats.org/markup-compatibility/2006">
          <mc:Choice Requires="x14">
            <control shapeId="1236" r:id="rId210" name="Check Box 212">
              <controlPr locked="0" defaultSize="0" autoFill="0" autoLine="0" autoPict="0">
                <anchor moveWithCells="1">
                  <from>
                    <xdr:col>5</xdr:col>
                    <xdr:colOff>88900</xdr:colOff>
                    <xdr:row>39</xdr:row>
                    <xdr:rowOff>63500</xdr:rowOff>
                  </from>
                  <to>
                    <xdr:col>5</xdr:col>
                    <xdr:colOff>285750</xdr:colOff>
                    <xdr:row>39</xdr:row>
                    <xdr:rowOff>279400</xdr:rowOff>
                  </to>
                </anchor>
              </controlPr>
            </control>
          </mc:Choice>
        </mc:AlternateContent>
        <mc:AlternateContent xmlns:mc="http://schemas.openxmlformats.org/markup-compatibility/2006">
          <mc:Choice Requires="x14">
            <control shapeId="1237" r:id="rId211" name="Check Box 213">
              <controlPr locked="0" defaultSize="0" autoFill="0" autoLine="0" autoPict="0">
                <anchor moveWithCells="1">
                  <from>
                    <xdr:col>6</xdr:col>
                    <xdr:colOff>88900</xdr:colOff>
                    <xdr:row>39</xdr:row>
                    <xdr:rowOff>63500</xdr:rowOff>
                  </from>
                  <to>
                    <xdr:col>6</xdr:col>
                    <xdr:colOff>285750</xdr:colOff>
                    <xdr:row>39</xdr:row>
                    <xdr:rowOff>279400</xdr:rowOff>
                  </to>
                </anchor>
              </controlPr>
            </control>
          </mc:Choice>
        </mc:AlternateContent>
        <mc:AlternateContent xmlns:mc="http://schemas.openxmlformats.org/markup-compatibility/2006">
          <mc:Choice Requires="x14">
            <control shapeId="1238" r:id="rId212" name="Check Box 214">
              <controlPr locked="0" defaultSize="0" autoFill="0" autoLine="0" autoPict="0">
                <anchor moveWithCells="1">
                  <from>
                    <xdr:col>7</xdr:col>
                    <xdr:colOff>88900</xdr:colOff>
                    <xdr:row>39</xdr:row>
                    <xdr:rowOff>63500</xdr:rowOff>
                  </from>
                  <to>
                    <xdr:col>7</xdr:col>
                    <xdr:colOff>285750</xdr:colOff>
                    <xdr:row>39</xdr:row>
                    <xdr:rowOff>279400</xdr:rowOff>
                  </to>
                </anchor>
              </controlPr>
            </control>
          </mc:Choice>
        </mc:AlternateContent>
        <mc:AlternateContent xmlns:mc="http://schemas.openxmlformats.org/markup-compatibility/2006">
          <mc:Choice Requires="x14">
            <control shapeId="1239" r:id="rId213" name="Check Box 215">
              <controlPr locked="0" defaultSize="0" autoFill="0" autoLine="0" autoPict="0">
                <anchor moveWithCells="1">
                  <from>
                    <xdr:col>8</xdr:col>
                    <xdr:colOff>88900</xdr:colOff>
                    <xdr:row>39</xdr:row>
                    <xdr:rowOff>63500</xdr:rowOff>
                  </from>
                  <to>
                    <xdr:col>8</xdr:col>
                    <xdr:colOff>285750</xdr:colOff>
                    <xdr:row>39</xdr:row>
                    <xdr:rowOff>279400</xdr:rowOff>
                  </to>
                </anchor>
              </controlPr>
            </control>
          </mc:Choice>
        </mc:AlternateContent>
        <mc:AlternateContent xmlns:mc="http://schemas.openxmlformats.org/markup-compatibility/2006">
          <mc:Choice Requires="x14">
            <control shapeId="1240" r:id="rId214" name="Check Box 216">
              <controlPr locked="0" defaultSize="0" autoFill="0" autoLine="0" autoPict="0">
                <anchor moveWithCells="1">
                  <from>
                    <xdr:col>2</xdr:col>
                    <xdr:colOff>88900</xdr:colOff>
                    <xdr:row>41</xdr:row>
                    <xdr:rowOff>63500</xdr:rowOff>
                  </from>
                  <to>
                    <xdr:col>2</xdr:col>
                    <xdr:colOff>285750</xdr:colOff>
                    <xdr:row>41</xdr:row>
                    <xdr:rowOff>279400</xdr:rowOff>
                  </to>
                </anchor>
              </controlPr>
            </control>
          </mc:Choice>
        </mc:AlternateContent>
        <mc:AlternateContent xmlns:mc="http://schemas.openxmlformats.org/markup-compatibility/2006">
          <mc:Choice Requires="x14">
            <control shapeId="1241" r:id="rId215" name="Check Box 217">
              <controlPr locked="0" defaultSize="0" autoFill="0" autoLine="0" autoPict="0">
                <anchor moveWithCells="1">
                  <from>
                    <xdr:col>3</xdr:col>
                    <xdr:colOff>88900</xdr:colOff>
                    <xdr:row>41</xdr:row>
                    <xdr:rowOff>63500</xdr:rowOff>
                  </from>
                  <to>
                    <xdr:col>3</xdr:col>
                    <xdr:colOff>285750</xdr:colOff>
                    <xdr:row>41</xdr:row>
                    <xdr:rowOff>279400</xdr:rowOff>
                  </to>
                </anchor>
              </controlPr>
            </control>
          </mc:Choice>
        </mc:AlternateContent>
        <mc:AlternateContent xmlns:mc="http://schemas.openxmlformats.org/markup-compatibility/2006">
          <mc:Choice Requires="x14">
            <control shapeId="1242" r:id="rId216" name="Check Box 218">
              <controlPr locked="0" defaultSize="0" autoFill="0" autoLine="0" autoPict="0">
                <anchor moveWithCells="1">
                  <from>
                    <xdr:col>4</xdr:col>
                    <xdr:colOff>88900</xdr:colOff>
                    <xdr:row>41</xdr:row>
                    <xdr:rowOff>63500</xdr:rowOff>
                  </from>
                  <to>
                    <xdr:col>4</xdr:col>
                    <xdr:colOff>285750</xdr:colOff>
                    <xdr:row>41</xdr:row>
                    <xdr:rowOff>279400</xdr:rowOff>
                  </to>
                </anchor>
              </controlPr>
            </control>
          </mc:Choice>
        </mc:AlternateContent>
        <mc:AlternateContent xmlns:mc="http://schemas.openxmlformats.org/markup-compatibility/2006">
          <mc:Choice Requires="x14">
            <control shapeId="1243" r:id="rId217" name="Check Box 219">
              <controlPr locked="0" defaultSize="0" autoFill="0" autoLine="0" autoPict="0">
                <anchor moveWithCells="1">
                  <from>
                    <xdr:col>5</xdr:col>
                    <xdr:colOff>88900</xdr:colOff>
                    <xdr:row>41</xdr:row>
                    <xdr:rowOff>63500</xdr:rowOff>
                  </from>
                  <to>
                    <xdr:col>5</xdr:col>
                    <xdr:colOff>285750</xdr:colOff>
                    <xdr:row>41</xdr:row>
                    <xdr:rowOff>279400</xdr:rowOff>
                  </to>
                </anchor>
              </controlPr>
            </control>
          </mc:Choice>
        </mc:AlternateContent>
        <mc:AlternateContent xmlns:mc="http://schemas.openxmlformats.org/markup-compatibility/2006">
          <mc:Choice Requires="x14">
            <control shapeId="1244" r:id="rId218" name="Check Box 220">
              <controlPr locked="0" defaultSize="0" autoFill="0" autoLine="0" autoPict="0">
                <anchor moveWithCells="1">
                  <from>
                    <xdr:col>6</xdr:col>
                    <xdr:colOff>88900</xdr:colOff>
                    <xdr:row>41</xdr:row>
                    <xdr:rowOff>63500</xdr:rowOff>
                  </from>
                  <to>
                    <xdr:col>6</xdr:col>
                    <xdr:colOff>285750</xdr:colOff>
                    <xdr:row>41</xdr:row>
                    <xdr:rowOff>279400</xdr:rowOff>
                  </to>
                </anchor>
              </controlPr>
            </control>
          </mc:Choice>
        </mc:AlternateContent>
        <mc:AlternateContent xmlns:mc="http://schemas.openxmlformats.org/markup-compatibility/2006">
          <mc:Choice Requires="x14">
            <control shapeId="1245" r:id="rId219" name="Check Box 221">
              <controlPr locked="0" defaultSize="0" autoFill="0" autoLine="0" autoPict="0">
                <anchor moveWithCells="1">
                  <from>
                    <xdr:col>7</xdr:col>
                    <xdr:colOff>88900</xdr:colOff>
                    <xdr:row>41</xdr:row>
                    <xdr:rowOff>63500</xdr:rowOff>
                  </from>
                  <to>
                    <xdr:col>7</xdr:col>
                    <xdr:colOff>285750</xdr:colOff>
                    <xdr:row>41</xdr:row>
                    <xdr:rowOff>279400</xdr:rowOff>
                  </to>
                </anchor>
              </controlPr>
            </control>
          </mc:Choice>
        </mc:AlternateContent>
        <mc:AlternateContent xmlns:mc="http://schemas.openxmlformats.org/markup-compatibility/2006">
          <mc:Choice Requires="x14">
            <control shapeId="1246" r:id="rId220" name="Check Box 222">
              <controlPr locked="0" defaultSize="0" autoFill="0" autoLine="0" autoPict="0">
                <anchor moveWithCells="1">
                  <from>
                    <xdr:col>8</xdr:col>
                    <xdr:colOff>88900</xdr:colOff>
                    <xdr:row>41</xdr:row>
                    <xdr:rowOff>63500</xdr:rowOff>
                  </from>
                  <to>
                    <xdr:col>8</xdr:col>
                    <xdr:colOff>285750</xdr:colOff>
                    <xdr:row>41</xdr:row>
                    <xdr:rowOff>279400</xdr:rowOff>
                  </to>
                </anchor>
              </controlPr>
            </control>
          </mc:Choice>
        </mc:AlternateContent>
        <mc:AlternateContent xmlns:mc="http://schemas.openxmlformats.org/markup-compatibility/2006">
          <mc:Choice Requires="x14">
            <control shapeId="1247" r:id="rId221" name="Check Box 223">
              <controlPr locked="0" defaultSize="0" autoFill="0" autoLine="0" autoPict="0">
                <anchor moveWithCells="1">
                  <from>
                    <xdr:col>2</xdr:col>
                    <xdr:colOff>88900</xdr:colOff>
                    <xdr:row>42</xdr:row>
                    <xdr:rowOff>63500</xdr:rowOff>
                  </from>
                  <to>
                    <xdr:col>2</xdr:col>
                    <xdr:colOff>285750</xdr:colOff>
                    <xdr:row>42</xdr:row>
                    <xdr:rowOff>279400</xdr:rowOff>
                  </to>
                </anchor>
              </controlPr>
            </control>
          </mc:Choice>
        </mc:AlternateContent>
        <mc:AlternateContent xmlns:mc="http://schemas.openxmlformats.org/markup-compatibility/2006">
          <mc:Choice Requires="x14">
            <control shapeId="1248" r:id="rId222" name="Check Box 224">
              <controlPr locked="0" defaultSize="0" autoFill="0" autoLine="0" autoPict="0">
                <anchor moveWithCells="1">
                  <from>
                    <xdr:col>3</xdr:col>
                    <xdr:colOff>88900</xdr:colOff>
                    <xdr:row>42</xdr:row>
                    <xdr:rowOff>63500</xdr:rowOff>
                  </from>
                  <to>
                    <xdr:col>3</xdr:col>
                    <xdr:colOff>285750</xdr:colOff>
                    <xdr:row>42</xdr:row>
                    <xdr:rowOff>279400</xdr:rowOff>
                  </to>
                </anchor>
              </controlPr>
            </control>
          </mc:Choice>
        </mc:AlternateContent>
        <mc:AlternateContent xmlns:mc="http://schemas.openxmlformats.org/markup-compatibility/2006">
          <mc:Choice Requires="x14">
            <control shapeId="1249" r:id="rId223" name="Check Box 225">
              <controlPr locked="0" defaultSize="0" autoFill="0" autoLine="0" autoPict="0">
                <anchor moveWithCells="1">
                  <from>
                    <xdr:col>4</xdr:col>
                    <xdr:colOff>88900</xdr:colOff>
                    <xdr:row>42</xdr:row>
                    <xdr:rowOff>63500</xdr:rowOff>
                  </from>
                  <to>
                    <xdr:col>4</xdr:col>
                    <xdr:colOff>285750</xdr:colOff>
                    <xdr:row>42</xdr:row>
                    <xdr:rowOff>279400</xdr:rowOff>
                  </to>
                </anchor>
              </controlPr>
            </control>
          </mc:Choice>
        </mc:AlternateContent>
        <mc:AlternateContent xmlns:mc="http://schemas.openxmlformats.org/markup-compatibility/2006">
          <mc:Choice Requires="x14">
            <control shapeId="1250" r:id="rId224" name="Check Box 226">
              <controlPr locked="0" defaultSize="0" autoFill="0" autoLine="0" autoPict="0">
                <anchor moveWithCells="1">
                  <from>
                    <xdr:col>5</xdr:col>
                    <xdr:colOff>88900</xdr:colOff>
                    <xdr:row>42</xdr:row>
                    <xdr:rowOff>63500</xdr:rowOff>
                  </from>
                  <to>
                    <xdr:col>5</xdr:col>
                    <xdr:colOff>285750</xdr:colOff>
                    <xdr:row>42</xdr:row>
                    <xdr:rowOff>279400</xdr:rowOff>
                  </to>
                </anchor>
              </controlPr>
            </control>
          </mc:Choice>
        </mc:AlternateContent>
        <mc:AlternateContent xmlns:mc="http://schemas.openxmlformats.org/markup-compatibility/2006">
          <mc:Choice Requires="x14">
            <control shapeId="1251" r:id="rId225" name="Check Box 227">
              <controlPr locked="0" defaultSize="0" autoFill="0" autoLine="0" autoPict="0">
                <anchor moveWithCells="1">
                  <from>
                    <xdr:col>6</xdr:col>
                    <xdr:colOff>88900</xdr:colOff>
                    <xdr:row>42</xdr:row>
                    <xdr:rowOff>63500</xdr:rowOff>
                  </from>
                  <to>
                    <xdr:col>6</xdr:col>
                    <xdr:colOff>285750</xdr:colOff>
                    <xdr:row>42</xdr:row>
                    <xdr:rowOff>279400</xdr:rowOff>
                  </to>
                </anchor>
              </controlPr>
            </control>
          </mc:Choice>
        </mc:AlternateContent>
        <mc:AlternateContent xmlns:mc="http://schemas.openxmlformats.org/markup-compatibility/2006">
          <mc:Choice Requires="x14">
            <control shapeId="1252" r:id="rId226" name="Check Box 228">
              <controlPr locked="0" defaultSize="0" autoFill="0" autoLine="0" autoPict="0">
                <anchor moveWithCells="1">
                  <from>
                    <xdr:col>7</xdr:col>
                    <xdr:colOff>88900</xdr:colOff>
                    <xdr:row>42</xdr:row>
                    <xdr:rowOff>63500</xdr:rowOff>
                  </from>
                  <to>
                    <xdr:col>7</xdr:col>
                    <xdr:colOff>285750</xdr:colOff>
                    <xdr:row>42</xdr:row>
                    <xdr:rowOff>279400</xdr:rowOff>
                  </to>
                </anchor>
              </controlPr>
            </control>
          </mc:Choice>
        </mc:AlternateContent>
        <mc:AlternateContent xmlns:mc="http://schemas.openxmlformats.org/markup-compatibility/2006">
          <mc:Choice Requires="x14">
            <control shapeId="1253" r:id="rId227" name="Check Box 229">
              <controlPr locked="0" defaultSize="0" autoFill="0" autoLine="0" autoPict="0">
                <anchor moveWithCells="1">
                  <from>
                    <xdr:col>8</xdr:col>
                    <xdr:colOff>88900</xdr:colOff>
                    <xdr:row>42</xdr:row>
                    <xdr:rowOff>63500</xdr:rowOff>
                  </from>
                  <to>
                    <xdr:col>8</xdr:col>
                    <xdr:colOff>285750</xdr:colOff>
                    <xdr:row>42</xdr:row>
                    <xdr:rowOff>279400</xdr:rowOff>
                  </to>
                </anchor>
              </controlPr>
            </control>
          </mc:Choice>
        </mc:AlternateContent>
        <mc:AlternateContent xmlns:mc="http://schemas.openxmlformats.org/markup-compatibility/2006">
          <mc:Choice Requires="x14">
            <control shapeId="1254" r:id="rId228" name="Check Box 230">
              <controlPr locked="0" defaultSize="0" autoFill="0" autoLine="0" autoPict="0">
                <anchor moveWithCells="1">
                  <from>
                    <xdr:col>2</xdr:col>
                    <xdr:colOff>88900</xdr:colOff>
                    <xdr:row>43</xdr:row>
                    <xdr:rowOff>63500</xdr:rowOff>
                  </from>
                  <to>
                    <xdr:col>2</xdr:col>
                    <xdr:colOff>285750</xdr:colOff>
                    <xdr:row>43</xdr:row>
                    <xdr:rowOff>279400</xdr:rowOff>
                  </to>
                </anchor>
              </controlPr>
            </control>
          </mc:Choice>
        </mc:AlternateContent>
        <mc:AlternateContent xmlns:mc="http://schemas.openxmlformats.org/markup-compatibility/2006">
          <mc:Choice Requires="x14">
            <control shapeId="1255" r:id="rId229" name="Check Box 231">
              <controlPr locked="0" defaultSize="0" autoFill="0" autoLine="0" autoPict="0">
                <anchor moveWithCells="1">
                  <from>
                    <xdr:col>3</xdr:col>
                    <xdr:colOff>88900</xdr:colOff>
                    <xdr:row>43</xdr:row>
                    <xdr:rowOff>63500</xdr:rowOff>
                  </from>
                  <to>
                    <xdr:col>3</xdr:col>
                    <xdr:colOff>285750</xdr:colOff>
                    <xdr:row>43</xdr:row>
                    <xdr:rowOff>279400</xdr:rowOff>
                  </to>
                </anchor>
              </controlPr>
            </control>
          </mc:Choice>
        </mc:AlternateContent>
        <mc:AlternateContent xmlns:mc="http://schemas.openxmlformats.org/markup-compatibility/2006">
          <mc:Choice Requires="x14">
            <control shapeId="1256" r:id="rId230" name="Check Box 232">
              <controlPr locked="0" defaultSize="0" autoFill="0" autoLine="0" autoPict="0">
                <anchor moveWithCells="1">
                  <from>
                    <xdr:col>4</xdr:col>
                    <xdr:colOff>88900</xdr:colOff>
                    <xdr:row>43</xdr:row>
                    <xdr:rowOff>63500</xdr:rowOff>
                  </from>
                  <to>
                    <xdr:col>4</xdr:col>
                    <xdr:colOff>285750</xdr:colOff>
                    <xdr:row>43</xdr:row>
                    <xdr:rowOff>279400</xdr:rowOff>
                  </to>
                </anchor>
              </controlPr>
            </control>
          </mc:Choice>
        </mc:AlternateContent>
        <mc:AlternateContent xmlns:mc="http://schemas.openxmlformats.org/markup-compatibility/2006">
          <mc:Choice Requires="x14">
            <control shapeId="1257" r:id="rId231" name="Check Box 233">
              <controlPr locked="0" defaultSize="0" autoFill="0" autoLine="0" autoPict="0">
                <anchor moveWithCells="1">
                  <from>
                    <xdr:col>5</xdr:col>
                    <xdr:colOff>88900</xdr:colOff>
                    <xdr:row>43</xdr:row>
                    <xdr:rowOff>63500</xdr:rowOff>
                  </from>
                  <to>
                    <xdr:col>5</xdr:col>
                    <xdr:colOff>285750</xdr:colOff>
                    <xdr:row>43</xdr:row>
                    <xdr:rowOff>279400</xdr:rowOff>
                  </to>
                </anchor>
              </controlPr>
            </control>
          </mc:Choice>
        </mc:AlternateContent>
        <mc:AlternateContent xmlns:mc="http://schemas.openxmlformats.org/markup-compatibility/2006">
          <mc:Choice Requires="x14">
            <control shapeId="1258" r:id="rId232" name="Check Box 234">
              <controlPr locked="0" defaultSize="0" autoFill="0" autoLine="0" autoPict="0">
                <anchor moveWithCells="1">
                  <from>
                    <xdr:col>6</xdr:col>
                    <xdr:colOff>88900</xdr:colOff>
                    <xdr:row>43</xdr:row>
                    <xdr:rowOff>63500</xdr:rowOff>
                  </from>
                  <to>
                    <xdr:col>6</xdr:col>
                    <xdr:colOff>285750</xdr:colOff>
                    <xdr:row>43</xdr:row>
                    <xdr:rowOff>279400</xdr:rowOff>
                  </to>
                </anchor>
              </controlPr>
            </control>
          </mc:Choice>
        </mc:AlternateContent>
        <mc:AlternateContent xmlns:mc="http://schemas.openxmlformats.org/markup-compatibility/2006">
          <mc:Choice Requires="x14">
            <control shapeId="1259" r:id="rId233" name="Check Box 235">
              <controlPr locked="0" defaultSize="0" autoFill="0" autoLine="0" autoPict="0">
                <anchor moveWithCells="1">
                  <from>
                    <xdr:col>7</xdr:col>
                    <xdr:colOff>88900</xdr:colOff>
                    <xdr:row>43</xdr:row>
                    <xdr:rowOff>63500</xdr:rowOff>
                  </from>
                  <to>
                    <xdr:col>7</xdr:col>
                    <xdr:colOff>285750</xdr:colOff>
                    <xdr:row>43</xdr:row>
                    <xdr:rowOff>279400</xdr:rowOff>
                  </to>
                </anchor>
              </controlPr>
            </control>
          </mc:Choice>
        </mc:AlternateContent>
        <mc:AlternateContent xmlns:mc="http://schemas.openxmlformats.org/markup-compatibility/2006">
          <mc:Choice Requires="x14">
            <control shapeId="1260" r:id="rId234" name="Check Box 236">
              <controlPr locked="0" defaultSize="0" autoFill="0" autoLine="0" autoPict="0">
                <anchor moveWithCells="1">
                  <from>
                    <xdr:col>8</xdr:col>
                    <xdr:colOff>88900</xdr:colOff>
                    <xdr:row>43</xdr:row>
                    <xdr:rowOff>63500</xdr:rowOff>
                  </from>
                  <to>
                    <xdr:col>8</xdr:col>
                    <xdr:colOff>285750</xdr:colOff>
                    <xdr:row>43</xdr:row>
                    <xdr:rowOff>279400</xdr:rowOff>
                  </to>
                </anchor>
              </controlPr>
            </control>
          </mc:Choice>
        </mc:AlternateContent>
        <mc:AlternateContent xmlns:mc="http://schemas.openxmlformats.org/markup-compatibility/2006">
          <mc:Choice Requires="x14">
            <control shapeId="1261" r:id="rId235" name="Check Box 237">
              <controlPr locked="0" defaultSize="0" autoFill="0" autoLine="0" autoPict="0">
                <anchor moveWithCells="1">
                  <from>
                    <xdr:col>2</xdr:col>
                    <xdr:colOff>88900</xdr:colOff>
                    <xdr:row>44</xdr:row>
                    <xdr:rowOff>63500</xdr:rowOff>
                  </from>
                  <to>
                    <xdr:col>2</xdr:col>
                    <xdr:colOff>285750</xdr:colOff>
                    <xdr:row>44</xdr:row>
                    <xdr:rowOff>279400</xdr:rowOff>
                  </to>
                </anchor>
              </controlPr>
            </control>
          </mc:Choice>
        </mc:AlternateContent>
        <mc:AlternateContent xmlns:mc="http://schemas.openxmlformats.org/markup-compatibility/2006">
          <mc:Choice Requires="x14">
            <control shapeId="1262" r:id="rId236" name="Check Box 238">
              <controlPr locked="0" defaultSize="0" autoFill="0" autoLine="0" autoPict="0">
                <anchor moveWithCells="1">
                  <from>
                    <xdr:col>3</xdr:col>
                    <xdr:colOff>88900</xdr:colOff>
                    <xdr:row>44</xdr:row>
                    <xdr:rowOff>63500</xdr:rowOff>
                  </from>
                  <to>
                    <xdr:col>3</xdr:col>
                    <xdr:colOff>285750</xdr:colOff>
                    <xdr:row>44</xdr:row>
                    <xdr:rowOff>279400</xdr:rowOff>
                  </to>
                </anchor>
              </controlPr>
            </control>
          </mc:Choice>
        </mc:AlternateContent>
        <mc:AlternateContent xmlns:mc="http://schemas.openxmlformats.org/markup-compatibility/2006">
          <mc:Choice Requires="x14">
            <control shapeId="1263" r:id="rId237" name="Check Box 239">
              <controlPr locked="0" defaultSize="0" autoFill="0" autoLine="0" autoPict="0">
                <anchor moveWithCells="1">
                  <from>
                    <xdr:col>4</xdr:col>
                    <xdr:colOff>88900</xdr:colOff>
                    <xdr:row>44</xdr:row>
                    <xdr:rowOff>63500</xdr:rowOff>
                  </from>
                  <to>
                    <xdr:col>4</xdr:col>
                    <xdr:colOff>285750</xdr:colOff>
                    <xdr:row>44</xdr:row>
                    <xdr:rowOff>279400</xdr:rowOff>
                  </to>
                </anchor>
              </controlPr>
            </control>
          </mc:Choice>
        </mc:AlternateContent>
        <mc:AlternateContent xmlns:mc="http://schemas.openxmlformats.org/markup-compatibility/2006">
          <mc:Choice Requires="x14">
            <control shapeId="1264" r:id="rId238" name="Check Box 240">
              <controlPr locked="0" defaultSize="0" autoFill="0" autoLine="0" autoPict="0">
                <anchor moveWithCells="1">
                  <from>
                    <xdr:col>5</xdr:col>
                    <xdr:colOff>88900</xdr:colOff>
                    <xdr:row>44</xdr:row>
                    <xdr:rowOff>63500</xdr:rowOff>
                  </from>
                  <to>
                    <xdr:col>5</xdr:col>
                    <xdr:colOff>285750</xdr:colOff>
                    <xdr:row>44</xdr:row>
                    <xdr:rowOff>279400</xdr:rowOff>
                  </to>
                </anchor>
              </controlPr>
            </control>
          </mc:Choice>
        </mc:AlternateContent>
        <mc:AlternateContent xmlns:mc="http://schemas.openxmlformats.org/markup-compatibility/2006">
          <mc:Choice Requires="x14">
            <control shapeId="1265" r:id="rId239" name="Check Box 241">
              <controlPr locked="0" defaultSize="0" autoFill="0" autoLine="0" autoPict="0">
                <anchor moveWithCells="1">
                  <from>
                    <xdr:col>6</xdr:col>
                    <xdr:colOff>88900</xdr:colOff>
                    <xdr:row>44</xdr:row>
                    <xdr:rowOff>63500</xdr:rowOff>
                  </from>
                  <to>
                    <xdr:col>6</xdr:col>
                    <xdr:colOff>285750</xdr:colOff>
                    <xdr:row>44</xdr:row>
                    <xdr:rowOff>279400</xdr:rowOff>
                  </to>
                </anchor>
              </controlPr>
            </control>
          </mc:Choice>
        </mc:AlternateContent>
        <mc:AlternateContent xmlns:mc="http://schemas.openxmlformats.org/markup-compatibility/2006">
          <mc:Choice Requires="x14">
            <control shapeId="1266" r:id="rId240" name="Check Box 242">
              <controlPr locked="0" defaultSize="0" autoFill="0" autoLine="0" autoPict="0">
                <anchor moveWithCells="1">
                  <from>
                    <xdr:col>7</xdr:col>
                    <xdr:colOff>88900</xdr:colOff>
                    <xdr:row>44</xdr:row>
                    <xdr:rowOff>63500</xdr:rowOff>
                  </from>
                  <to>
                    <xdr:col>7</xdr:col>
                    <xdr:colOff>285750</xdr:colOff>
                    <xdr:row>44</xdr:row>
                    <xdr:rowOff>279400</xdr:rowOff>
                  </to>
                </anchor>
              </controlPr>
            </control>
          </mc:Choice>
        </mc:AlternateContent>
        <mc:AlternateContent xmlns:mc="http://schemas.openxmlformats.org/markup-compatibility/2006">
          <mc:Choice Requires="x14">
            <control shapeId="1267" r:id="rId241" name="Check Box 243">
              <controlPr locked="0" defaultSize="0" autoFill="0" autoLine="0" autoPict="0">
                <anchor moveWithCells="1">
                  <from>
                    <xdr:col>8</xdr:col>
                    <xdr:colOff>88900</xdr:colOff>
                    <xdr:row>44</xdr:row>
                    <xdr:rowOff>63500</xdr:rowOff>
                  </from>
                  <to>
                    <xdr:col>8</xdr:col>
                    <xdr:colOff>285750</xdr:colOff>
                    <xdr:row>44</xdr:row>
                    <xdr:rowOff>279400</xdr:rowOff>
                  </to>
                </anchor>
              </controlPr>
            </control>
          </mc:Choice>
        </mc:AlternateContent>
        <mc:AlternateContent xmlns:mc="http://schemas.openxmlformats.org/markup-compatibility/2006">
          <mc:Choice Requires="x14">
            <control shapeId="1268" r:id="rId242" name="Check Box 244">
              <controlPr locked="0" defaultSize="0" autoFill="0" autoLine="0" autoPict="0">
                <anchor moveWithCells="1">
                  <from>
                    <xdr:col>2</xdr:col>
                    <xdr:colOff>88900</xdr:colOff>
                    <xdr:row>45</xdr:row>
                    <xdr:rowOff>63500</xdr:rowOff>
                  </from>
                  <to>
                    <xdr:col>2</xdr:col>
                    <xdr:colOff>285750</xdr:colOff>
                    <xdr:row>45</xdr:row>
                    <xdr:rowOff>279400</xdr:rowOff>
                  </to>
                </anchor>
              </controlPr>
            </control>
          </mc:Choice>
        </mc:AlternateContent>
        <mc:AlternateContent xmlns:mc="http://schemas.openxmlformats.org/markup-compatibility/2006">
          <mc:Choice Requires="x14">
            <control shapeId="1269" r:id="rId243" name="Check Box 245">
              <controlPr locked="0" defaultSize="0" autoFill="0" autoLine="0" autoPict="0">
                <anchor moveWithCells="1">
                  <from>
                    <xdr:col>3</xdr:col>
                    <xdr:colOff>88900</xdr:colOff>
                    <xdr:row>45</xdr:row>
                    <xdr:rowOff>63500</xdr:rowOff>
                  </from>
                  <to>
                    <xdr:col>3</xdr:col>
                    <xdr:colOff>285750</xdr:colOff>
                    <xdr:row>45</xdr:row>
                    <xdr:rowOff>279400</xdr:rowOff>
                  </to>
                </anchor>
              </controlPr>
            </control>
          </mc:Choice>
        </mc:AlternateContent>
        <mc:AlternateContent xmlns:mc="http://schemas.openxmlformats.org/markup-compatibility/2006">
          <mc:Choice Requires="x14">
            <control shapeId="1270" r:id="rId244" name="Check Box 246">
              <controlPr locked="0" defaultSize="0" autoFill="0" autoLine="0" autoPict="0">
                <anchor moveWithCells="1">
                  <from>
                    <xdr:col>4</xdr:col>
                    <xdr:colOff>88900</xdr:colOff>
                    <xdr:row>45</xdr:row>
                    <xdr:rowOff>63500</xdr:rowOff>
                  </from>
                  <to>
                    <xdr:col>4</xdr:col>
                    <xdr:colOff>285750</xdr:colOff>
                    <xdr:row>45</xdr:row>
                    <xdr:rowOff>279400</xdr:rowOff>
                  </to>
                </anchor>
              </controlPr>
            </control>
          </mc:Choice>
        </mc:AlternateContent>
        <mc:AlternateContent xmlns:mc="http://schemas.openxmlformats.org/markup-compatibility/2006">
          <mc:Choice Requires="x14">
            <control shapeId="1271" r:id="rId245" name="Check Box 247">
              <controlPr locked="0" defaultSize="0" autoFill="0" autoLine="0" autoPict="0">
                <anchor moveWithCells="1">
                  <from>
                    <xdr:col>5</xdr:col>
                    <xdr:colOff>88900</xdr:colOff>
                    <xdr:row>45</xdr:row>
                    <xdr:rowOff>63500</xdr:rowOff>
                  </from>
                  <to>
                    <xdr:col>5</xdr:col>
                    <xdr:colOff>285750</xdr:colOff>
                    <xdr:row>45</xdr:row>
                    <xdr:rowOff>279400</xdr:rowOff>
                  </to>
                </anchor>
              </controlPr>
            </control>
          </mc:Choice>
        </mc:AlternateContent>
        <mc:AlternateContent xmlns:mc="http://schemas.openxmlformats.org/markup-compatibility/2006">
          <mc:Choice Requires="x14">
            <control shapeId="1272" r:id="rId246" name="Check Box 248">
              <controlPr locked="0" defaultSize="0" autoFill="0" autoLine="0" autoPict="0">
                <anchor moveWithCells="1">
                  <from>
                    <xdr:col>6</xdr:col>
                    <xdr:colOff>88900</xdr:colOff>
                    <xdr:row>45</xdr:row>
                    <xdr:rowOff>63500</xdr:rowOff>
                  </from>
                  <to>
                    <xdr:col>6</xdr:col>
                    <xdr:colOff>285750</xdr:colOff>
                    <xdr:row>45</xdr:row>
                    <xdr:rowOff>279400</xdr:rowOff>
                  </to>
                </anchor>
              </controlPr>
            </control>
          </mc:Choice>
        </mc:AlternateContent>
        <mc:AlternateContent xmlns:mc="http://schemas.openxmlformats.org/markup-compatibility/2006">
          <mc:Choice Requires="x14">
            <control shapeId="1273" r:id="rId247" name="Check Box 249">
              <controlPr locked="0" defaultSize="0" autoFill="0" autoLine="0" autoPict="0">
                <anchor moveWithCells="1">
                  <from>
                    <xdr:col>7</xdr:col>
                    <xdr:colOff>88900</xdr:colOff>
                    <xdr:row>45</xdr:row>
                    <xdr:rowOff>63500</xdr:rowOff>
                  </from>
                  <to>
                    <xdr:col>7</xdr:col>
                    <xdr:colOff>285750</xdr:colOff>
                    <xdr:row>45</xdr:row>
                    <xdr:rowOff>279400</xdr:rowOff>
                  </to>
                </anchor>
              </controlPr>
            </control>
          </mc:Choice>
        </mc:AlternateContent>
        <mc:AlternateContent xmlns:mc="http://schemas.openxmlformats.org/markup-compatibility/2006">
          <mc:Choice Requires="x14">
            <control shapeId="1274" r:id="rId248" name="Check Box 250">
              <controlPr locked="0" defaultSize="0" autoFill="0" autoLine="0" autoPict="0">
                <anchor moveWithCells="1">
                  <from>
                    <xdr:col>8</xdr:col>
                    <xdr:colOff>88900</xdr:colOff>
                    <xdr:row>45</xdr:row>
                    <xdr:rowOff>63500</xdr:rowOff>
                  </from>
                  <to>
                    <xdr:col>8</xdr:col>
                    <xdr:colOff>285750</xdr:colOff>
                    <xdr:row>45</xdr:row>
                    <xdr:rowOff>279400</xdr:rowOff>
                  </to>
                </anchor>
              </controlPr>
            </control>
          </mc:Choice>
        </mc:AlternateContent>
        <mc:AlternateContent xmlns:mc="http://schemas.openxmlformats.org/markup-compatibility/2006">
          <mc:Choice Requires="x14">
            <control shapeId="1275" r:id="rId249" name="Check Box 251">
              <controlPr locked="0" defaultSize="0" autoFill="0" autoLine="0" autoPict="0">
                <anchor moveWithCells="1">
                  <from>
                    <xdr:col>2</xdr:col>
                    <xdr:colOff>88900</xdr:colOff>
                    <xdr:row>47</xdr:row>
                    <xdr:rowOff>63500</xdr:rowOff>
                  </from>
                  <to>
                    <xdr:col>2</xdr:col>
                    <xdr:colOff>285750</xdr:colOff>
                    <xdr:row>47</xdr:row>
                    <xdr:rowOff>279400</xdr:rowOff>
                  </to>
                </anchor>
              </controlPr>
            </control>
          </mc:Choice>
        </mc:AlternateContent>
        <mc:AlternateContent xmlns:mc="http://schemas.openxmlformats.org/markup-compatibility/2006">
          <mc:Choice Requires="x14">
            <control shapeId="1276" r:id="rId250" name="Check Box 252">
              <controlPr locked="0" defaultSize="0" autoFill="0" autoLine="0" autoPict="0">
                <anchor moveWithCells="1">
                  <from>
                    <xdr:col>3</xdr:col>
                    <xdr:colOff>88900</xdr:colOff>
                    <xdr:row>47</xdr:row>
                    <xdr:rowOff>63500</xdr:rowOff>
                  </from>
                  <to>
                    <xdr:col>3</xdr:col>
                    <xdr:colOff>285750</xdr:colOff>
                    <xdr:row>47</xdr:row>
                    <xdr:rowOff>279400</xdr:rowOff>
                  </to>
                </anchor>
              </controlPr>
            </control>
          </mc:Choice>
        </mc:AlternateContent>
        <mc:AlternateContent xmlns:mc="http://schemas.openxmlformats.org/markup-compatibility/2006">
          <mc:Choice Requires="x14">
            <control shapeId="1277" r:id="rId251" name="Check Box 253">
              <controlPr locked="0" defaultSize="0" autoFill="0" autoLine="0" autoPict="0">
                <anchor moveWithCells="1">
                  <from>
                    <xdr:col>4</xdr:col>
                    <xdr:colOff>88900</xdr:colOff>
                    <xdr:row>47</xdr:row>
                    <xdr:rowOff>63500</xdr:rowOff>
                  </from>
                  <to>
                    <xdr:col>4</xdr:col>
                    <xdr:colOff>285750</xdr:colOff>
                    <xdr:row>47</xdr:row>
                    <xdr:rowOff>279400</xdr:rowOff>
                  </to>
                </anchor>
              </controlPr>
            </control>
          </mc:Choice>
        </mc:AlternateContent>
        <mc:AlternateContent xmlns:mc="http://schemas.openxmlformats.org/markup-compatibility/2006">
          <mc:Choice Requires="x14">
            <control shapeId="1278" r:id="rId252" name="Check Box 254">
              <controlPr locked="0" defaultSize="0" autoFill="0" autoLine="0" autoPict="0">
                <anchor moveWithCells="1">
                  <from>
                    <xdr:col>5</xdr:col>
                    <xdr:colOff>88900</xdr:colOff>
                    <xdr:row>47</xdr:row>
                    <xdr:rowOff>63500</xdr:rowOff>
                  </from>
                  <to>
                    <xdr:col>5</xdr:col>
                    <xdr:colOff>285750</xdr:colOff>
                    <xdr:row>47</xdr:row>
                    <xdr:rowOff>279400</xdr:rowOff>
                  </to>
                </anchor>
              </controlPr>
            </control>
          </mc:Choice>
        </mc:AlternateContent>
        <mc:AlternateContent xmlns:mc="http://schemas.openxmlformats.org/markup-compatibility/2006">
          <mc:Choice Requires="x14">
            <control shapeId="1279" r:id="rId253" name="Check Box 255">
              <controlPr locked="0" defaultSize="0" autoFill="0" autoLine="0" autoPict="0">
                <anchor moveWithCells="1">
                  <from>
                    <xdr:col>6</xdr:col>
                    <xdr:colOff>88900</xdr:colOff>
                    <xdr:row>47</xdr:row>
                    <xdr:rowOff>63500</xdr:rowOff>
                  </from>
                  <to>
                    <xdr:col>6</xdr:col>
                    <xdr:colOff>285750</xdr:colOff>
                    <xdr:row>47</xdr:row>
                    <xdr:rowOff>279400</xdr:rowOff>
                  </to>
                </anchor>
              </controlPr>
            </control>
          </mc:Choice>
        </mc:AlternateContent>
        <mc:AlternateContent xmlns:mc="http://schemas.openxmlformats.org/markup-compatibility/2006">
          <mc:Choice Requires="x14">
            <control shapeId="1280" r:id="rId254" name="Check Box 256">
              <controlPr locked="0" defaultSize="0" autoFill="0" autoLine="0" autoPict="0">
                <anchor moveWithCells="1">
                  <from>
                    <xdr:col>7</xdr:col>
                    <xdr:colOff>88900</xdr:colOff>
                    <xdr:row>47</xdr:row>
                    <xdr:rowOff>63500</xdr:rowOff>
                  </from>
                  <to>
                    <xdr:col>7</xdr:col>
                    <xdr:colOff>285750</xdr:colOff>
                    <xdr:row>47</xdr:row>
                    <xdr:rowOff>279400</xdr:rowOff>
                  </to>
                </anchor>
              </controlPr>
            </control>
          </mc:Choice>
        </mc:AlternateContent>
        <mc:AlternateContent xmlns:mc="http://schemas.openxmlformats.org/markup-compatibility/2006">
          <mc:Choice Requires="x14">
            <control shapeId="1281" r:id="rId255" name="Check Box 257">
              <controlPr locked="0" defaultSize="0" autoFill="0" autoLine="0" autoPict="0">
                <anchor moveWithCells="1">
                  <from>
                    <xdr:col>8</xdr:col>
                    <xdr:colOff>88900</xdr:colOff>
                    <xdr:row>47</xdr:row>
                    <xdr:rowOff>63500</xdr:rowOff>
                  </from>
                  <to>
                    <xdr:col>8</xdr:col>
                    <xdr:colOff>285750</xdr:colOff>
                    <xdr:row>47</xdr:row>
                    <xdr:rowOff>279400</xdr:rowOff>
                  </to>
                </anchor>
              </controlPr>
            </control>
          </mc:Choice>
        </mc:AlternateContent>
        <mc:AlternateContent xmlns:mc="http://schemas.openxmlformats.org/markup-compatibility/2006">
          <mc:Choice Requires="x14">
            <control shapeId="1282" r:id="rId256" name="Check Box 258">
              <controlPr locked="0" defaultSize="0" autoFill="0" autoLine="0" autoPict="0">
                <anchor moveWithCells="1">
                  <from>
                    <xdr:col>2</xdr:col>
                    <xdr:colOff>88900</xdr:colOff>
                    <xdr:row>48</xdr:row>
                    <xdr:rowOff>63500</xdr:rowOff>
                  </from>
                  <to>
                    <xdr:col>2</xdr:col>
                    <xdr:colOff>285750</xdr:colOff>
                    <xdr:row>48</xdr:row>
                    <xdr:rowOff>279400</xdr:rowOff>
                  </to>
                </anchor>
              </controlPr>
            </control>
          </mc:Choice>
        </mc:AlternateContent>
        <mc:AlternateContent xmlns:mc="http://schemas.openxmlformats.org/markup-compatibility/2006">
          <mc:Choice Requires="x14">
            <control shapeId="1283" r:id="rId257" name="Check Box 259">
              <controlPr locked="0" defaultSize="0" autoFill="0" autoLine="0" autoPict="0">
                <anchor moveWithCells="1">
                  <from>
                    <xdr:col>3</xdr:col>
                    <xdr:colOff>88900</xdr:colOff>
                    <xdr:row>48</xdr:row>
                    <xdr:rowOff>63500</xdr:rowOff>
                  </from>
                  <to>
                    <xdr:col>3</xdr:col>
                    <xdr:colOff>285750</xdr:colOff>
                    <xdr:row>48</xdr:row>
                    <xdr:rowOff>279400</xdr:rowOff>
                  </to>
                </anchor>
              </controlPr>
            </control>
          </mc:Choice>
        </mc:AlternateContent>
        <mc:AlternateContent xmlns:mc="http://schemas.openxmlformats.org/markup-compatibility/2006">
          <mc:Choice Requires="x14">
            <control shapeId="1284" r:id="rId258" name="Check Box 260">
              <controlPr locked="0" defaultSize="0" autoFill="0" autoLine="0" autoPict="0">
                <anchor moveWithCells="1">
                  <from>
                    <xdr:col>4</xdr:col>
                    <xdr:colOff>88900</xdr:colOff>
                    <xdr:row>48</xdr:row>
                    <xdr:rowOff>63500</xdr:rowOff>
                  </from>
                  <to>
                    <xdr:col>4</xdr:col>
                    <xdr:colOff>285750</xdr:colOff>
                    <xdr:row>48</xdr:row>
                    <xdr:rowOff>279400</xdr:rowOff>
                  </to>
                </anchor>
              </controlPr>
            </control>
          </mc:Choice>
        </mc:AlternateContent>
        <mc:AlternateContent xmlns:mc="http://schemas.openxmlformats.org/markup-compatibility/2006">
          <mc:Choice Requires="x14">
            <control shapeId="1285" r:id="rId259" name="Check Box 261">
              <controlPr locked="0" defaultSize="0" autoFill="0" autoLine="0" autoPict="0">
                <anchor moveWithCells="1">
                  <from>
                    <xdr:col>5</xdr:col>
                    <xdr:colOff>88900</xdr:colOff>
                    <xdr:row>48</xdr:row>
                    <xdr:rowOff>63500</xdr:rowOff>
                  </from>
                  <to>
                    <xdr:col>5</xdr:col>
                    <xdr:colOff>285750</xdr:colOff>
                    <xdr:row>48</xdr:row>
                    <xdr:rowOff>279400</xdr:rowOff>
                  </to>
                </anchor>
              </controlPr>
            </control>
          </mc:Choice>
        </mc:AlternateContent>
        <mc:AlternateContent xmlns:mc="http://schemas.openxmlformats.org/markup-compatibility/2006">
          <mc:Choice Requires="x14">
            <control shapeId="1286" r:id="rId260" name="Check Box 262">
              <controlPr locked="0" defaultSize="0" autoFill="0" autoLine="0" autoPict="0">
                <anchor moveWithCells="1">
                  <from>
                    <xdr:col>6</xdr:col>
                    <xdr:colOff>88900</xdr:colOff>
                    <xdr:row>48</xdr:row>
                    <xdr:rowOff>63500</xdr:rowOff>
                  </from>
                  <to>
                    <xdr:col>6</xdr:col>
                    <xdr:colOff>285750</xdr:colOff>
                    <xdr:row>48</xdr:row>
                    <xdr:rowOff>279400</xdr:rowOff>
                  </to>
                </anchor>
              </controlPr>
            </control>
          </mc:Choice>
        </mc:AlternateContent>
        <mc:AlternateContent xmlns:mc="http://schemas.openxmlformats.org/markup-compatibility/2006">
          <mc:Choice Requires="x14">
            <control shapeId="1287" r:id="rId261" name="Check Box 263">
              <controlPr locked="0" defaultSize="0" autoFill="0" autoLine="0" autoPict="0">
                <anchor moveWithCells="1">
                  <from>
                    <xdr:col>7</xdr:col>
                    <xdr:colOff>88900</xdr:colOff>
                    <xdr:row>48</xdr:row>
                    <xdr:rowOff>63500</xdr:rowOff>
                  </from>
                  <to>
                    <xdr:col>7</xdr:col>
                    <xdr:colOff>285750</xdr:colOff>
                    <xdr:row>48</xdr:row>
                    <xdr:rowOff>279400</xdr:rowOff>
                  </to>
                </anchor>
              </controlPr>
            </control>
          </mc:Choice>
        </mc:AlternateContent>
        <mc:AlternateContent xmlns:mc="http://schemas.openxmlformats.org/markup-compatibility/2006">
          <mc:Choice Requires="x14">
            <control shapeId="1288" r:id="rId262" name="Check Box 264">
              <controlPr locked="0" defaultSize="0" autoFill="0" autoLine="0" autoPict="0">
                <anchor moveWithCells="1">
                  <from>
                    <xdr:col>8</xdr:col>
                    <xdr:colOff>88900</xdr:colOff>
                    <xdr:row>48</xdr:row>
                    <xdr:rowOff>63500</xdr:rowOff>
                  </from>
                  <to>
                    <xdr:col>8</xdr:col>
                    <xdr:colOff>285750</xdr:colOff>
                    <xdr:row>48</xdr:row>
                    <xdr:rowOff>279400</xdr:rowOff>
                  </to>
                </anchor>
              </controlPr>
            </control>
          </mc:Choice>
        </mc:AlternateContent>
        <mc:AlternateContent xmlns:mc="http://schemas.openxmlformats.org/markup-compatibility/2006">
          <mc:Choice Requires="x14">
            <control shapeId="1289" r:id="rId263" name="Check Box 265">
              <controlPr locked="0" defaultSize="0" autoFill="0" autoLine="0" autoPict="0">
                <anchor moveWithCells="1">
                  <from>
                    <xdr:col>2</xdr:col>
                    <xdr:colOff>88900</xdr:colOff>
                    <xdr:row>49</xdr:row>
                    <xdr:rowOff>63500</xdr:rowOff>
                  </from>
                  <to>
                    <xdr:col>2</xdr:col>
                    <xdr:colOff>285750</xdr:colOff>
                    <xdr:row>49</xdr:row>
                    <xdr:rowOff>279400</xdr:rowOff>
                  </to>
                </anchor>
              </controlPr>
            </control>
          </mc:Choice>
        </mc:AlternateContent>
        <mc:AlternateContent xmlns:mc="http://schemas.openxmlformats.org/markup-compatibility/2006">
          <mc:Choice Requires="x14">
            <control shapeId="1290" r:id="rId264" name="Check Box 266">
              <controlPr locked="0" defaultSize="0" autoFill="0" autoLine="0" autoPict="0">
                <anchor moveWithCells="1">
                  <from>
                    <xdr:col>3</xdr:col>
                    <xdr:colOff>88900</xdr:colOff>
                    <xdr:row>49</xdr:row>
                    <xdr:rowOff>63500</xdr:rowOff>
                  </from>
                  <to>
                    <xdr:col>3</xdr:col>
                    <xdr:colOff>285750</xdr:colOff>
                    <xdr:row>49</xdr:row>
                    <xdr:rowOff>279400</xdr:rowOff>
                  </to>
                </anchor>
              </controlPr>
            </control>
          </mc:Choice>
        </mc:AlternateContent>
        <mc:AlternateContent xmlns:mc="http://schemas.openxmlformats.org/markup-compatibility/2006">
          <mc:Choice Requires="x14">
            <control shapeId="1291" r:id="rId265" name="Check Box 267">
              <controlPr locked="0" defaultSize="0" autoFill="0" autoLine="0" autoPict="0">
                <anchor moveWithCells="1">
                  <from>
                    <xdr:col>4</xdr:col>
                    <xdr:colOff>88900</xdr:colOff>
                    <xdr:row>49</xdr:row>
                    <xdr:rowOff>63500</xdr:rowOff>
                  </from>
                  <to>
                    <xdr:col>4</xdr:col>
                    <xdr:colOff>285750</xdr:colOff>
                    <xdr:row>49</xdr:row>
                    <xdr:rowOff>279400</xdr:rowOff>
                  </to>
                </anchor>
              </controlPr>
            </control>
          </mc:Choice>
        </mc:AlternateContent>
        <mc:AlternateContent xmlns:mc="http://schemas.openxmlformats.org/markup-compatibility/2006">
          <mc:Choice Requires="x14">
            <control shapeId="1292" r:id="rId266" name="Check Box 268">
              <controlPr locked="0" defaultSize="0" autoFill="0" autoLine="0" autoPict="0">
                <anchor moveWithCells="1">
                  <from>
                    <xdr:col>5</xdr:col>
                    <xdr:colOff>88900</xdr:colOff>
                    <xdr:row>49</xdr:row>
                    <xdr:rowOff>63500</xdr:rowOff>
                  </from>
                  <to>
                    <xdr:col>5</xdr:col>
                    <xdr:colOff>285750</xdr:colOff>
                    <xdr:row>49</xdr:row>
                    <xdr:rowOff>279400</xdr:rowOff>
                  </to>
                </anchor>
              </controlPr>
            </control>
          </mc:Choice>
        </mc:AlternateContent>
        <mc:AlternateContent xmlns:mc="http://schemas.openxmlformats.org/markup-compatibility/2006">
          <mc:Choice Requires="x14">
            <control shapeId="1293" r:id="rId267" name="Check Box 269">
              <controlPr locked="0" defaultSize="0" autoFill="0" autoLine="0" autoPict="0">
                <anchor moveWithCells="1">
                  <from>
                    <xdr:col>6</xdr:col>
                    <xdr:colOff>88900</xdr:colOff>
                    <xdr:row>49</xdr:row>
                    <xdr:rowOff>63500</xdr:rowOff>
                  </from>
                  <to>
                    <xdr:col>6</xdr:col>
                    <xdr:colOff>285750</xdr:colOff>
                    <xdr:row>49</xdr:row>
                    <xdr:rowOff>279400</xdr:rowOff>
                  </to>
                </anchor>
              </controlPr>
            </control>
          </mc:Choice>
        </mc:AlternateContent>
        <mc:AlternateContent xmlns:mc="http://schemas.openxmlformats.org/markup-compatibility/2006">
          <mc:Choice Requires="x14">
            <control shapeId="1294" r:id="rId268" name="Check Box 270">
              <controlPr locked="0" defaultSize="0" autoFill="0" autoLine="0" autoPict="0">
                <anchor moveWithCells="1">
                  <from>
                    <xdr:col>7</xdr:col>
                    <xdr:colOff>88900</xdr:colOff>
                    <xdr:row>49</xdr:row>
                    <xdr:rowOff>63500</xdr:rowOff>
                  </from>
                  <to>
                    <xdr:col>7</xdr:col>
                    <xdr:colOff>285750</xdr:colOff>
                    <xdr:row>49</xdr:row>
                    <xdr:rowOff>279400</xdr:rowOff>
                  </to>
                </anchor>
              </controlPr>
            </control>
          </mc:Choice>
        </mc:AlternateContent>
        <mc:AlternateContent xmlns:mc="http://schemas.openxmlformats.org/markup-compatibility/2006">
          <mc:Choice Requires="x14">
            <control shapeId="1295" r:id="rId269" name="Check Box 271">
              <controlPr locked="0" defaultSize="0" autoFill="0" autoLine="0" autoPict="0">
                <anchor moveWithCells="1">
                  <from>
                    <xdr:col>8</xdr:col>
                    <xdr:colOff>88900</xdr:colOff>
                    <xdr:row>49</xdr:row>
                    <xdr:rowOff>63500</xdr:rowOff>
                  </from>
                  <to>
                    <xdr:col>8</xdr:col>
                    <xdr:colOff>285750</xdr:colOff>
                    <xdr:row>49</xdr:row>
                    <xdr:rowOff>279400</xdr:rowOff>
                  </to>
                </anchor>
              </controlPr>
            </control>
          </mc:Choice>
        </mc:AlternateContent>
        <mc:AlternateContent xmlns:mc="http://schemas.openxmlformats.org/markup-compatibility/2006">
          <mc:Choice Requires="x14">
            <control shapeId="1296" r:id="rId270" name="Check Box 272">
              <controlPr locked="0" defaultSize="0" autoFill="0" autoLine="0" autoPict="0">
                <anchor moveWithCells="1">
                  <from>
                    <xdr:col>2</xdr:col>
                    <xdr:colOff>88900</xdr:colOff>
                    <xdr:row>50</xdr:row>
                    <xdr:rowOff>63500</xdr:rowOff>
                  </from>
                  <to>
                    <xdr:col>2</xdr:col>
                    <xdr:colOff>285750</xdr:colOff>
                    <xdr:row>50</xdr:row>
                    <xdr:rowOff>279400</xdr:rowOff>
                  </to>
                </anchor>
              </controlPr>
            </control>
          </mc:Choice>
        </mc:AlternateContent>
        <mc:AlternateContent xmlns:mc="http://schemas.openxmlformats.org/markup-compatibility/2006">
          <mc:Choice Requires="x14">
            <control shapeId="1297" r:id="rId271" name="Check Box 273">
              <controlPr locked="0" defaultSize="0" autoFill="0" autoLine="0" autoPict="0">
                <anchor moveWithCells="1">
                  <from>
                    <xdr:col>3</xdr:col>
                    <xdr:colOff>88900</xdr:colOff>
                    <xdr:row>50</xdr:row>
                    <xdr:rowOff>63500</xdr:rowOff>
                  </from>
                  <to>
                    <xdr:col>3</xdr:col>
                    <xdr:colOff>285750</xdr:colOff>
                    <xdr:row>50</xdr:row>
                    <xdr:rowOff>279400</xdr:rowOff>
                  </to>
                </anchor>
              </controlPr>
            </control>
          </mc:Choice>
        </mc:AlternateContent>
        <mc:AlternateContent xmlns:mc="http://schemas.openxmlformats.org/markup-compatibility/2006">
          <mc:Choice Requires="x14">
            <control shapeId="1298" r:id="rId272" name="Check Box 274">
              <controlPr locked="0" defaultSize="0" autoFill="0" autoLine="0" autoPict="0">
                <anchor moveWithCells="1">
                  <from>
                    <xdr:col>4</xdr:col>
                    <xdr:colOff>88900</xdr:colOff>
                    <xdr:row>50</xdr:row>
                    <xdr:rowOff>63500</xdr:rowOff>
                  </from>
                  <to>
                    <xdr:col>4</xdr:col>
                    <xdr:colOff>285750</xdr:colOff>
                    <xdr:row>50</xdr:row>
                    <xdr:rowOff>279400</xdr:rowOff>
                  </to>
                </anchor>
              </controlPr>
            </control>
          </mc:Choice>
        </mc:AlternateContent>
        <mc:AlternateContent xmlns:mc="http://schemas.openxmlformats.org/markup-compatibility/2006">
          <mc:Choice Requires="x14">
            <control shapeId="1299" r:id="rId273" name="Check Box 275">
              <controlPr locked="0" defaultSize="0" autoFill="0" autoLine="0" autoPict="0">
                <anchor moveWithCells="1">
                  <from>
                    <xdr:col>5</xdr:col>
                    <xdr:colOff>88900</xdr:colOff>
                    <xdr:row>50</xdr:row>
                    <xdr:rowOff>63500</xdr:rowOff>
                  </from>
                  <to>
                    <xdr:col>5</xdr:col>
                    <xdr:colOff>285750</xdr:colOff>
                    <xdr:row>50</xdr:row>
                    <xdr:rowOff>279400</xdr:rowOff>
                  </to>
                </anchor>
              </controlPr>
            </control>
          </mc:Choice>
        </mc:AlternateContent>
        <mc:AlternateContent xmlns:mc="http://schemas.openxmlformats.org/markup-compatibility/2006">
          <mc:Choice Requires="x14">
            <control shapeId="1300" r:id="rId274" name="Check Box 276">
              <controlPr locked="0" defaultSize="0" autoFill="0" autoLine="0" autoPict="0">
                <anchor moveWithCells="1">
                  <from>
                    <xdr:col>6</xdr:col>
                    <xdr:colOff>88900</xdr:colOff>
                    <xdr:row>50</xdr:row>
                    <xdr:rowOff>63500</xdr:rowOff>
                  </from>
                  <to>
                    <xdr:col>6</xdr:col>
                    <xdr:colOff>285750</xdr:colOff>
                    <xdr:row>50</xdr:row>
                    <xdr:rowOff>279400</xdr:rowOff>
                  </to>
                </anchor>
              </controlPr>
            </control>
          </mc:Choice>
        </mc:AlternateContent>
        <mc:AlternateContent xmlns:mc="http://schemas.openxmlformats.org/markup-compatibility/2006">
          <mc:Choice Requires="x14">
            <control shapeId="1301" r:id="rId275" name="Check Box 277">
              <controlPr locked="0" defaultSize="0" autoFill="0" autoLine="0" autoPict="0">
                <anchor moveWithCells="1">
                  <from>
                    <xdr:col>7</xdr:col>
                    <xdr:colOff>88900</xdr:colOff>
                    <xdr:row>50</xdr:row>
                    <xdr:rowOff>63500</xdr:rowOff>
                  </from>
                  <to>
                    <xdr:col>7</xdr:col>
                    <xdr:colOff>285750</xdr:colOff>
                    <xdr:row>50</xdr:row>
                    <xdr:rowOff>279400</xdr:rowOff>
                  </to>
                </anchor>
              </controlPr>
            </control>
          </mc:Choice>
        </mc:AlternateContent>
        <mc:AlternateContent xmlns:mc="http://schemas.openxmlformats.org/markup-compatibility/2006">
          <mc:Choice Requires="x14">
            <control shapeId="1302" r:id="rId276" name="Check Box 278">
              <controlPr locked="0" defaultSize="0" autoFill="0" autoLine="0" autoPict="0">
                <anchor moveWithCells="1">
                  <from>
                    <xdr:col>8</xdr:col>
                    <xdr:colOff>88900</xdr:colOff>
                    <xdr:row>50</xdr:row>
                    <xdr:rowOff>63500</xdr:rowOff>
                  </from>
                  <to>
                    <xdr:col>8</xdr:col>
                    <xdr:colOff>285750</xdr:colOff>
                    <xdr:row>50</xdr:row>
                    <xdr:rowOff>279400</xdr:rowOff>
                  </to>
                </anchor>
              </controlPr>
            </control>
          </mc:Choice>
        </mc:AlternateContent>
        <mc:AlternateContent xmlns:mc="http://schemas.openxmlformats.org/markup-compatibility/2006">
          <mc:Choice Requires="x14">
            <control shapeId="1303" r:id="rId277" name="Check Box 279">
              <controlPr locked="0" defaultSize="0" autoFill="0" autoLine="0" autoPict="0">
                <anchor moveWithCells="1">
                  <from>
                    <xdr:col>2</xdr:col>
                    <xdr:colOff>88900</xdr:colOff>
                    <xdr:row>51</xdr:row>
                    <xdr:rowOff>63500</xdr:rowOff>
                  </from>
                  <to>
                    <xdr:col>2</xdr:col>
                    <xdr:colOff>285750</xdr:colOff>
                    <xdr:row>51</xdr:row>
                    <xdr:rowOff>279400</xdr:rowOff>
                  </to>
                </anchor>
              </controlPr>
            </control>
          </mc:Choice>
        </mc:AlternateContent>
        <mc:AlternateContent xmlns:mc="http://schemas.openxmlformats.org/markup-compatibility/2006">
          <mc:Choice Requires="x14">
            <control shapeId="1304" r:id="rId278" name="Check Box 280">
              <controlPr locked="0" defaultSize="0" autoFill="0" autoLine="0" autoPict="0">
                <anchor moveWithCells="1">
                  <from>
                    <xdr:col>3</xdr:col>
                    <xdr:colOff>88900</xdr:colOff>
                    <xdr:row>51</xdr:row>
                    <xdr:rowOff>63500</xdr:rowOff>
                  </from>
                  <to>
                    <xdr:col>3</xdr:col>
                    <xdr:colOff>285750</xdr:colOff>
                    <xdr:row>51</xdr:row>
                    <xdr:rowOff>279400</xdr:rowOff>
                  </to>
                </anchor>
              </controlPr>
            </control>
          </mc:Choice>
        </mc:AlternateContent>
        <mc:AlternateContent xmlns:mc="http://schemas.openxmlformats.org/markup-compatibility/2006">
          <mc:Choice Requires="x14">
            <control shapeId="1305" r:id="rId279" name="Check Box 281">
              <controlPr locked="0" defaultSize="0" autoFill="0" autoLine="0" autoPict="0">
                <anchor moveWithCells="1">
                  <from>
                    <xdr:col>4</xdr:col>
                    <xdr:colOff>88900</xdr:colOff>
                    <xdr:row>51</xdr:row>
                    <xdr:rowOff>63500</xdr:rowOff>
                  </from>
                  <to>
                    <xdr:col>4</xdr:col>
                    <xdr:colOff>285750</xdr:colOff>
                    <xdr:row>51</xdr:row>
                    <xdr:rowOff>279400</xdr:rowOff>
                  </to>
                </anchor>
              </controlPr>
            </control>
          </mc:Choice>
        </mc:AlternateContent>
        <mc:AlternateContent xmlns:mc="http://schemas.openxmlformats.org/markup-compatibility/2006">
          <mc:Choice Requires="x14">
            <control shapeId="1306" r:id="rId280" name="Check Box 282">
              <controlPr locked="0" defaultSize="0" autoFill="0" autoLine="0" autoPict="0">
                <anchor moveWithCells="1">
                  <from>
                    <xdr:col>5</xdr:col>
                    <xdr:colOff>88900</xdr:colOff>
                    <xdr:row>51</xdr:row>
                    <xdr:rowOff>63500</xdr:rowOff>
                  </from>
                  <to>
                    <xdr:col>5</xdr:col>
                    <xdr:colOff>285750</xdr:colOff>
                    <xdr:row>51</xdr:row>
                    <xdr:rowOff>279400</xdr:rowOff>
                  </to>
                </anchor>
              </controlPr>
            </control>
          </mc:Choice>
        </mc:AlternateContent>
        <mc:AlternateContent xmlns:mc="http://schemas.openxmlformats.org/markup-compatibility/2006">
          <mc:Choice Requires="x14">
            <control shapeId="1307" r:id="rId281" name="Check Box 283">
              <controlPr locked="0" defaultSize="0" autoFill="0" autoLine="0" autoPict="0">
                <anchor moveWithCells="1">
                  <from>
                    <xdr:col>6</xdr:col>
                    <xdr:colOff>88900</xdr:colOff>
                    <xdr:row>51</xdr:row>
                    <xdr:rowOff>63500</xdr:rowOff>
                  </from>
                  <to>
                    <xdr:col>6</xdr:col>
                    <xdr:colOff>285750</xdr:colOff>
                    <xdr:row>51</xdr:row>
                    <xdr:rowOff>279400</xdr:rowOff>
                  </to>
                </anchor>
              </controlPr>
            </control>
          </mc:Choice>
        </mc:AlternateContent>
        <mc:AlternateContent xmlns:mc="http://schemas.openxmlformats.org/markup-compatibility/2006">
          <mc:Choice Requires="x14">
            <control shapeId="1308" r:id="rId282" name="Check Box 284">
              <controlPr locked="0" defaultSize="0" autoFill="0" autoLine="0" autoPict="0">
                <anchor moveWithCells="1">
                  <from>
                    <xdr:col>7</xdr:col>
                    <xdr:colOff>88900</xdr:colOff>
                    <xdr:row>51</xdr:row>
                    <xdr:rowOff>63500</xdr:rowOff>
                  </from>
                  <to>
                    <xdr:col>7</xdr:col>
                    <xdr:colOff>285750</xdr:colOff>
                    <xdr:row>51</xdr:row>
                    <xdr:rowOff>279400</xdr:rowOff>
                  </to>
                </anchor>
              </controlPr>
            </control>
          </mc:Choice>
        </mc:AlternateContent>
        <mc:AlternateContent xmlns:mc="http://schemas.openxmlformats.org/markup-compatibility/2006">
          <mc:Choice Requires="x14">
            <control shapeId="1309" r:id="rId283" name="Check Box 285">
              <controlPr locked="0" defaultSize="0" autoFill="0" autoLine="0" autoPict="0">
                <anchor moveWithCells="1">
                  <from>
                    <xdr:col>8</xdr:col>
                    <xdr:colOff>88900</xdr:colOff>
                    <xdr:row>51</xdr:row>
                    <xdr:rowOff>63500</xdr:rowOff>
                  </from>
                  <to>
                    <xdr:col>8</xdr:col>
                    <xdr:colOff>285750</xdr:colOff>
                    <xdr:row>51</xdr:row>
                    <xdr:rowOff>279400</xdr:rowOff>
                  </to>
                </anchor>
              </controlPr>
            </control>
          </mc:Choice>
        </mc:AlternateContent>
        <mc:AlternateContent xmlns:mc="http://schemas.openxmlformats.org/markup-compatibility/2006">
          <mc:Choice Requires="x14">
            <control shapeId="1310" r:id="rId284" name="Check Box 286">
              <controlPr locked="0" defaultSize="0" autoFill="0" autoLine="0" autoPict="0">
                <anchor moveWithCells="1">
                  <from>
                    <xdr:col>2</xdr:col>
                    <xdr:colOff>88900</xdr:colOff>
                    <xdr:row>53</xdr:row>
                    <xdr:rowOff>63500</xdr:rowOff>
                  </from>
                  <to>
                    <xdr:col>2</xdr:col>
                    <xdr:colOff>285750</xdr:colOff>
                    <xdr:row>53</xdr:row>
                    <xdr:rowOff>279400</xdr:rowOff>
                  </to>
                </anchor>
              </controlPr>
            </control>
          </mc:Choice>
        </mc:AlternateContent>
        <mc:AlternateContent xmlns:mc="http://schemas.openxmlformats.org/markup-compatibility/2006">
          <mc:Choice Requires="x14">
            <control shapeId="1311" r:id="rId285" name="Check Box 287">
              <controlPr locked="0" defaultSize="0" autoFill="0" autoLine="0" autoPict="0">
                <anchor moveWithCells="1">
                  <from>
                    <xdr:col>3</xdr:col>
                    <xdr:colOff>88900</xdr:colOff>
                    <xdr:row>53</xdr:row>
                    <xdr:rowOff>63500</xdr:rowOff>
                  </from>
                  <to>
                    <xdr:col>3</xdr:col>
                    <xdr:colOff>285750</xdr:colOff>
                    <xdr:row>53</xdr:row>
                    <xdr:rowOff>279400</xdr:rowOff>
                  </to>
                </anchor>
              </controlPr>
            </control>
          </mc:Choice>
        </mc:AlternateContent>
        <mc:AlternateContent xmlns:mc="http://schemas.openxmlformats.org/markup-compatibility/2006">
          <mc:Choice Requires="x14">
            <control shapeId="1312" r:id="rId286" name="Check Box 288">
              <controlPr locked="0" defaultSize="0" autoFill="0" autoLine="0" autoPict="0">
                <anchor moveWithCells="1">
                  <from>
                    <xdr:col>4</xdr:col>
                    <xdr:colOff>88900</xdr:colOff>
                    <xdr:row>53</xdr:row>
                    <xdr:rowOff>63500</xdr:rowOff>
                  </from>
                  <to>
                    <xdr:col>4</xdr:col>
                    <xdr:colOff>285750</xdr:colOff>
                    <xdr:row>53</xdr:row>
                    <xdr:rowOff>279400</xdr:rowOff>
                  </to>
                </anchor>
              </controlPr>
            </control>
          </mc:Choice>
        </mc:AlternateContent>
        <mc:AlternateContent xmlns:mc="http://schemas.openxmlformats.org/markup-compatibility/2006">
          <mc:Choice Requires="x14">
            <control shapeId="1313" r:id="rId287" name="Check Box 289">
              <controlPr locked="0" defaultSize="0" autoFill="0" autoLine="0" autoPict="0">
                <anchor moveWithCells="1">
                  <from>
                    <xdr:col>5</xdr:col>
                    <xdr:colOff>88900</xdr:colOff>
                    <xdr:row>53</xdr:row>
                    <xdr:rowOff>63500</xdr:rowOff>
                  </from>
                  <to>
                    <xdr:col>5</xdr:col>
                    <xdr:colOff>285750</xdr:colOff>
                    <xdr:row>53</xdr:row>
                    <xdr:rowOff>279400</xdr:rowOff>
                  </to>
                </anchor>
              </controlPr>
            </control>
          </mc:Choice>
        </mc:AlternateContent>
        <mc:AlternateContent xmlns:mc="http://schemas.openxmlformats.org/markup-compatibility/2006">
          <mc:Choice Requires="x14">
            <control shapeId="1314" r:id="rId288" name="Check Box 290">
              <controlPr locked="0" defaultSize="0" autoFill="0" autoLine="0" autoPict="0">
                <anchor moveWithCells="1">
                  <from>
                    <xdr:col>6</xdr:col>
                    <xdr:colOff>88900</xdr:colOff>
                    <xdr:row>53</xdr:row>
                    <xdr:rowOff>63500</xdr:rowOff>
                  </from>
                  <to>
                    <xdr:col>6</xdr:col>
                    <xdr:colOff>285750</xdr:colOff>
                    <xdr:row>53</xdr:row>
                    <xdr:rowOff>279400</xdr:rowOff>
                  </to>
                </anchor>
              </controlPr>
            </control>
          </mc:Choice>
        </mc:AlternateContent>
        <mc:AlternateContent xmlns:mc="http://schemas.openxmlformats.org/markup-compatibility/2006">
          <mc:Choice Requires="x14">
            <control shapeId="1315" r:id="rId289" name="Check Box 291">
              <controlPr locked="0" defaultSize="0" autoFill="0" autoLine="0" autoPict="0">
                <anchor moveWithCells="1">
                  <from>
                    <xdr:col>7</xdr:col>
                    <xdr:colOff>88900</xdr:colOff>
                    <xdr:row>53</xdr:row>
                    <xdr:rowOff>63500</xdr:rowOff>
                  </from>
                  <to>
                    <xdr:col>7</xdr:col>
                    <xdr:colOff>285750</xdr:colOff>
                    <xdr:row>53</xdr:row>
                    <xdr:rowOff>279400</xdr:rowOff>
                  </to>
                </anchor>
              </controlPr>
            </control>
          </mc:Choice>
        </mc:AlternateContent>
        <mc:AlternateContent xmlns:mc="http://schemas.openxmlformats.org/markup-compatibility/2006">
          <mc:Choice Requires="x14">
            <control shapeId="1316" r:id="rId290" name="Check Box 292">
              <controlPr locked="0" defaultSize="0" autoFill="0" autoLine="0" autoPict="0">
                <anchor moveWithCells="1">
                  <from>
                    <xdr:col>8</xdr:col>
                    <xdr:colOff>88900</xdr:colOff>
                    <xdr:row>53</xdr:row>
                    <xdr:rowOff>63500</xdr:rowOff>
                  </from>
                  <to>
                    <xdr:col>8</xdr:col>
                    <xdr:colOff>285750</xdr:colOff>
                    <xdr:row>53</xdr:row>
                    <xdr:rowOff>279400</xdr:rowOff>
                  </to>
                </anchor>
              </controlPr>
            </control>
          </mc:Choice>
        </mc:AlternateContent>
        <mc:AlternateContent xmlns:mc="http://schemas.openxmlformats.org/markup-compatibility/2006">
          <mc:Choice Requires="x14">
            <control shapeId="1317" r:id="rId291" name="Check Box 293">
              <controlPr locked="0" defaultSize="0" autoFill="0" autoLine="0" autoPict="0">
                <anchor moveWithCells="1">
                  <from>
                    <xdr:col>2</xdr:col>
                    <xdr:colOff>88900</xdr:colOff>
                    <xdr:row>54</xdr:row>
                    <xdr:rowOff>63500</xdr:rowOff>
                  </from>
                  <to>
                    <xdr:col>2</xdr:col>
                    <xdr:colOff>285750</xdr:colOff>
                    <xdr:row>54</xdr:row>
                    <xdr:rowOff>279400</xdr:rowOff>
                  </to>
                </anchor>
              </controlPr>
            </control>
          </mc:Choice>
        </mc:AlternateContent>
        <mc:AlternateContent xmlns:mc="http://schemas.openxmlformats.org/markup-compatibility/2006">
          <mc:Choice Requires="x14">
            <control shapeId="1318" r:id="rId292" name="Check Box 294">
              <controlPr locked="0" defaultSize="0" autoFill="0" autoLine="0" autoPict="0">
                <anchor moveWithCells="1">
                  <from>
                    <xdr:col>3</xdr:col>
                    <xdr:colOff>88900</xdr:colOff>
                    <xdr:row>54</xdr:row>
                    <xdr:rowOff>63500</xdr:rowOff>
                  </from>
                  <to>
                    <xdr:col>3</xdr:col>
                    <xdr:colOff>285750</xdr:colOff>
                    <xdr:row>54</xdr:row>
                    <xdr:rowOff>279400</xdr:rowOff>
                  </to>
                </anchor>
              </controlPr>
            </control>
          </mc:Choice>
        </mc:AlternateContent>
        <mc:AlternateContent xmlns:mc="http://schemas.openxmlformats.org/markup-compatibility/2006">
          <mc:Choice Requires="x14">
            <control shapeId="1319" r:id="rId293" name="Check Box 295">
              <controlPr locked="0" defaultSize="0" autoFill="0" autoLine="0" autoPict="0">
                <anchor moveWithCells="1">
                  <from>
                    <xdr:col>4</xdr:col>
                    <xdr:colOff>88900</xdr:colOff>
                    <xdr:row>54</xdr:row>
                    <xdr:rowOff>63500</xdr:rowOff>
                  </from>
                  <to>
                    <xdr:col>4</xdr:col>
                    <xdr:colOff>285750</xdr:colOff>
                    <xdr:row>54</xdr:row>
                    <xdr:rowOff>279400</xdr:rowOff>
                  </to>
                </anchor>
              </controlPr>
            </control>
          </mc:Choice>
        </mc:AlternateContent>
        <mc:AlternateContent xmlns:mc="http://schemas.openxmlformats.org/markup-compatibility/2006">
          <mc:Choice Requires="x14">
            <control shapeId="1320" r:id="rId294" name="Check Box 296">
              <controlPr locked="0" defaultSize="0" autoFill="0" autoLine="0" autoPict="0">
                <anchor moveWithCells="1">
                  <from>
                    <xdr:col>5</xdr:col>
                    <xdr:colOff>88900</xdr:colOff>
                    <xdr:row>54</xdr:row>
                    <xdr:rowOff>63500</xdr:rowOff>
                  </from>
                  <to>
                    <xdr:col>5</xdr:col>
                    <xdr:colOff>285750</xdr:colOff>
                    <xdr:row>54</xdr:row>
                    <xdr:rowOff>279400</xdr:rowOff>
                  </to>
                </anchor>
              </controlPr>
            </control>
          </mc:Choice>
        </mc:AlternateContent>
        <mc:AlternateContent xmlns:mc="http://schemas.openxmlformats.org/markup-compatibility/2006">
          <mc:Choice Requires="x14">
            <control shapeId="1321" r:id="rId295" name="Check Box 297">
              <controlPr locked="0" defaultSize="0" autoFill="0" autoLine="0" autoPict="0">
                <anchor moveWithCells="1">
                  <from>
                    <xdr:col>6</xdr:col>
                    <xdr:colOff>88900</xdr:colOff>
                    <xdr:row>54</xdr:row>
                    <xdr:rowOff>63500</xdr:rowOff>
                  </from>
                  <to>
                    <xdr:col>6</xdr:col>
                    <xdr:colOff>285750</xdr:colOff>
                    <xdr:row>54</xdr:row>
                    <xdr:rowOff>279400</xdr:rowOff>
                  </to>
                </anchor>
              </controlPr>
            </control>
          </mc:Choice>
        </mc:AlternateContent>
        <mc:AlternateContent xmlns:mc="http://schemas.openxmlformats.org/markup-compatibility/2006">
          <mc:Choice Requires="x14">
            <control shapeId="1322" r:id="rId296" name="Check Box 298">
              <controlPr locked="0" defaultSize="0" autoFill="0" autoLine="0" autoPict="0">
                <anchor moveWithCells="1">
                  <from>
                    <xdr:col>7</xdr:col>
                    <xdr:colOff>88900</xdr:colOff>
                    <xdr:row>54</xdr:row>
                    <xdr:rowOff>63500</xdr:rowOff>
                  </from>
                  <to>
                    <xdr:col>7</xdr:col>
                    <xdr:colOff>285750</xdr:colOff>
                    <xdr:row>54</xdr:row>
                    <xdr:rowOff>279400</xdr:rowOff>
                  </to>
                </anchor>
              </controlPr>
            </control>
          </mc:Choice>
        </mc:AlternateContent>
        <mc:AlternateContent xmlns:mc="http://schemas.openxmlformats.org/markup-compatibility/2006">
          <mc:Choice Requires="x14">
            <control shapeId="1323" r:id="rId297" name="Check Box 299">
              <controlPr locked="0" defaultSize="0" autoFill="0" autoLine="0" autoPict="0">
                <anchor moveWithCells="1">
                  <from>
                    <xdr:col>8</xdr:col>
                    <xdr:colOff>88900</xdr:colOff>
                    <xdr:row>54</xdr:row>
                    <xdr:rowOff>63500</xdr:rowOff>
                  </from>
                  <to>
                    <xdr:col>8</xdr:col>
                    <xdr:colOff>285750</xdr:colOff>
                    <xdr:row>54</xdr:row>
                    <xdr:rowOff>279400</xdr:rowOff>
                  </to>
                </anchor>
              </controlPr>
            </control>
          </mc:Choice>
        </mc:AlternateContent>
        <mc:AlternateContent xmlns:mc="http://schemas.openxmlformats.org/markup-compatibility/2006">
          <mc:Choice Requires="x14">
            <control shapeId="1324" r:id="rId298" name="Check Box 300">
              <controlPr locked="0" defaultSize="0" autoFill="0" autoLine="0" autoPict="0">
                <anchor moveWithCells="1">
                  <from>
                    <xdr:col>2</xdr:col>
                    <xdr:colOff>88900</xdr:colOff>
                    <xdr:row>55</xdr:row>
                    <xdr:rowOff>63500</xdr:rowOff>
                  </from>
                  <to>
                    <xdr:col>2</xdr:col>
                    <xdr:colOff>285750</xdr:colOff>
                    <xdr:row>55</xdr:row>
                    <xdr:rowOff>279400</xdr:rowOff>
                  </to>
                </anchor>
              </controlPr>
            </control>
          </mc:Choice>
        </mc:AlternateContent>
        <mc:AlternateContent xmlns:mc="http://schemas.openxmlformats.org/markup-compatibility/2006">
          <mc:Choice Requires="x14">
            <control shapeId="1325" r:id="rId299" name="Check Box 301">
              <controlPr locked="0" defaultSize="0" autoFill="0" autoLine="0" autoPict="0">
                <anchor moveWithCells="1">
                  <from>
                    <xdr:col>3</xdr:col>
                    <xdr:colOff>88900</xdr:colOff>
                    <xdr:row>55</xdr:row>
                    <xdr:rowOff>63500</xdr:rowOff>
                  </from>
                  <to>
                    <xdr:col>3</xdr:col>
                    <xdr:colOff>285750</xdr:colOff>
                    <xdr:row>55</xdr:row>
                    <xdr:rowOff>279400</xdr:rowOff>
                  </to>
                </anchor>
              </controlPr>
            </control>
          </mc:Choice>
        </mc:AlternateContent>
        <mc:AlternateContent xmlns:mc="http://schemas.openxmlformats.org/markup-compatibility/2006">
          <mc:Choice Requires="x14">
            <control shapeId="1326" r:id="rId300" name="Check Box 302">
              <controlPr locked="0" defaultSize="0" autoFill="0" autoLine="0" autoPict="0">
                <anchor moveWithCells="1">
                  <from>
                    <xdr:col>4</xdr:col>
                    <xdr:colOff>88900</xdr:colOff>
                    <xdr:row>55</xdr:row>
                    <xdr:rowOff>63500</xdr:rowOff>
                  </from>
                  <to>
                    <xdr:col>4</xdr:col>
                    <xdr:colOff>285750</xdr:colOff>
                    <xdr:row>55</xdr:row>
                    <xdr:rowOff>279400</xdr:rowOff>
                  </to>
                </anchor>
              </controlPr>
            </control>
          </mc:Choice>
        </mc:AlternateContent>
        <mc:AlternateContent xmlns:mc="http://schemas.openxmlformats.org/markup-compatibility/2006">
          <mc:Choice Requires="x14">
            <control shapeId="1327" r:id="rId301" name="Check Box 303">
              <controlPr locked="0" defaultSize="0" autoFill="0" autoLine="0" autoPict="0">
                <anchor moveWithCells="1">
                  <from>
                    <xdr:col>5</xdr:col>
                    <xdr:colOff>88900</xdr:colOff>
                    <xdr:row>55</xdr:row>
                    <xdr:rowOff>63500</xdr:rowOff>
                  </from>
                  <to>
                    <xdr:col>5</xdr:col>
                    <xdr:colOff>285750</xdr:colOff>
                    <xdr:row>55</xdr:row>
                    <xdr:rowOff>279400</xdr:rowOff>
                  </to>
                </anchor>
              </controlPr>
            </control>
          </mc:Choice>
        </mc:AlternateContent>
        <mc:AlternateContent xmlns:mc="http://schemas.openxmlformats.org/markup-compatibility/2006">
          <mc:Choice Requires="x14">
            <control shapeId="1328" r:id="rId302" name="Check Box 304">
              <controlPr locked="0" defaultSize="0" autoFill="0" autoLine="0" autoPict="0">
                <anchor moveWithCells="1">
                  <from>
                    <xdr:col>6</xdr:col>
                    <xdr:colOff>88900</xdr:colOff>
                    <xdr:row>55</xdr:row>
                    <xdr:rowOff>63500</xdr:rowOff>
                  </from>
                  <to>
                    <xdr:col>6</xdr:col>
                    <xdr:colOff>285750</xdr:colOff>
                    <xdr:row>55</xdr:row>
                    <xdr:rowOff>279400</xdr:rowOff>
                  </to>
                </anchor>
              </controlPr>
            </control>
          </mc:Choice>
        </mc:AlternateContent>
        <mc:AlternateContent xmlns:mc="http://schemas.openxmlformats.org/markup-compatibility/2006">
          <mc:Choice Requires="x14">
            <control shapeId="1329" r:id="rId303" name="Check Box 305">
              <controlPr locked="0" defaultSize="0" autoFill="0" autoLine="0" autoPict="0">
                <anchor moveWithCells="1">
                  <from>
                    <xdr:col>7</xdr:col>
                    <xdr:colOff>88900</xdr:colOff>
                    <xdr:row>55</xdr:row>
                    <xdr:rowOff>63500</xdr:rowOff>
                  </from>
                  <to>
                    <xdr:col>7</xdr:col>
                    <xdr:colOff>285750</xdr:colOff>
                    <xdr:row>55</xdr:row>
                    <xdr:rowOff>279400</xdr:rowOff>
                  </to>
                </anchor>
              </controlPr>
            </control>
          </mc:Choice>
        </mc:AlternateContent>
        <mc:AlternateContent xmlns:mc="http://schemas.openxmlformats.org/markup-compatibility/2006">
          <mc:Choice Requires="x14">
            <control shapeId="1330" r:id="rId304" name="Check Box 306">
              <controlPr locked="0" defaultSize="0" autoFill="0" autoLine="0" autoPict="0">
                <anchor moveWithCells="1">
                  <from>
                    <xdr:col>8</xdr:col>
                    <xdr:colOff>88900</xdr:colOff>
                    <xdr:row>55</xdr:row>
                    <xdr:rowOff>63500</xdr:rowOff>
                  </from>
                  <to>
                    <xdr:col>8</xdr:col>
                    <xdr:colOff>285750</xdr:colOff>
                    <xdr:row>55</xdr:row>
                    <xdr:rowOff>279400</xdr:rowOff>
                  </to>
                </anchor>
              </controlPr>
            </control>
          </mc:Choice>
        </mc:AlternateContent>
        <mc:AlternateContent xmlns:mc="http://schemas.openxmlformats.org/markup-compatibility/2006">
          <mc:Choice Requires="x14">
            <control shapeId="1331" r:id="rId305" name="Check Box 307">
              <controlPr locked="0" defaultSize="0" autoFill="0" autoLine="0" autoPict="0">
                <anchor moveWithCells="1">
                  <from>
                    <xdr:col>2</xdr:col>
                    <xdr:colOff>88900</xdr:colOff>
                    <xdr:row>56</xdr:row>
                    <xdr:rowOff>63500</xdr:rowOff>
                  </from>
                  <to>
                    <xdr:col>2</xdr:col>
                    <xdr:colOff>285750</xdr:colOff>
                    <xdr:row>56</xdr:row>
                    <xdr:rowOff>279400</xdr:rowOff>
                  </to>
                </anchor>
              </controlPr>
            </control>
          </mc:Choice>
        </mc:AlternateContent>
        <mc:AlternateContent xmlns:mc="http://schemas.openxmlformats.org/markup-compatibility/2006">
          <mc:Choice Requires="x14">
            <control shapeId="1332" r:id="rId306" name="Check Box 308">
              <controlPr locked="0" defaultSize="0" autoFill="0" autoLine="0" autoPict="0">
                <anchor moveWithCells="1">
                  <from>
                    <xdr:col>3</xdr:col>
                    <xdr:colOff>88900</xdr:colOff>
                    <xdr:row>56</xdr:row>
                    <xdr:rowOff>63500</xdr:rowOff>
                  </from>
                  <to>
                    <xdr:col>3</xdr:col>
                    <xdr:colOff>285750</xdr:colOff>
                    <xdr:row>56</xdr:row>
                    <xdr:rowOff>279400</xdr:rowOff>
                  </to>
                </anchor>
              </controlPr>
            </control>
          </mc:Choice>
        </mc:AlternateContent>
        <mc:AlternateContent xmlns:mc="http://schemas.openxmlformats.org/markup-compatibility/2006">
          <mc:Choice Requires="x14">
            <control shapeId="1333" r:id="rId307" name="Check Box 309">
              <controlPr locked="0" defaultSize="0" autoFill="0" autoLine="0" autoPict="0">
                <anchor moveWithCells="1">
                  <from>
                    <xdr:col>4</xdr:col>
                    <xdr:colOff>88900</xdr:colOff>
                    <xdr:row>56</xdr:row>
                    <xdr:rowOff>63500</xdr:rowOff>
                  </from>
                  <to>
                    <xdr:col>4</xdr:col>
                    <xdr:colOff>285750</xdr:colOff>
                    <xdr:row>56</xdr:row>
                    <xdr:rowOff>279400</xdr:rowOff>
                  </to>
                </anchor>
              </controlPr>
            </control>
          </mc:Choice>
        </mc:AlternateContent>
        <mc:AlternateContent xmlns:mc="http://schemas.openxmlformats.org/markup-compatibility/2006">
          <mc:Choice Requires="x14">
            <control shapeId="1334" r:id="rId308" name="Check Box 310">
              <controlPr locked="0" defaultSize="0" autoFill="0" autoLine="0" autoPict="0">
                <anchor moveWithCells="1">
                  <from>
                    <xdr:col>5</xdr:col>
                    <xdr:colOff>88900</xdr:colOff>
                    <xdr:row>56</xdr:row>
                    <xdr:rowOff>63500</xdr:rowOff>
                  </from>
                  <to>
                    <xdr:col>5</xdr:col>
                    <xdr:colOff>285750</xdr:colOff>
                    <xdr:row>56</xdr:row>
                    <xdr:rowOff>279400</xdr:rowOff>
                  </to>
                </anchor>
              </controlPr>
            </control>
          </mc:Choice>
        </mc:AlternateContent>
        <mc:AlternateContent xmlns:mc="http://schemas.openxmlformats.org/markup-compatibility/2006">
          <mc:Choice Requires="x14">
            <control shapeId="1335" r:id="rId309" name="Check Box 311">
              <controlPr locked="0" defaultSize="0" autoFill="0" autoLine="0" autoPict="0">
                <anchor moveWithCells="1">
                  <from>
                    <xdr:col>6</xdr:col>
                    <xdr:colOff>88900</xdr:colOff>
                    <xdr:row>56</xdr:row>
                    <xdr:rowOff>63500</xdr:rowOff>
                  </from>
                  <to>
                    <xdr:col>6</xdr:col>
                    <xdr:colOff>285750</xdr:colOff>
                    <xdr:row>56</xdr:row>
                    <xdr:rowOff>279400</xdr:rowOff>
                  </to>
                </anchor>
              </controlPr>
            </control>
          </mc:Choice>
        </mc:AlternateContent>
        <mc:AlternateContent xmlns:mc="http://schemas.openxmlformats.org/markup-compatibility/2006">
          <mc:Choice Requires="x14">
            <control shapeId="1336" r:id="rId310" name="Check Box 312">
              <controlPr locked="0" defaultSize="0" autoFill="0" autoLine="0" autoPict="0">
                <anchor moveWithCells="1">
                  <from>
                    <xdr:col>7</xdr:col>
                    <xdr:colOff>88900</xdr:colOff>
                    <xdr:row>56</xdr:row>
                    <xdr:rowOff>63500</xdr:rowOff>
                  </from>
                  <to>
                    <xdr:col>7</xdr:col>
                    <xdr:colOff>285750</xdr:colOff>
                    <xdr:row>56</xdr:row>
                    <xdr:rowOff>279400</xdr:rowOff>
                  </to>
                </anchor>
              </controlPr>
            </control>
          </mc:Choice>
        </mc:AlternateContent>
        <mc:AlternateContent xmlns:mc="http://schemas.openxmlformats.org/markup-compatibility/2006">
          <mc:Choice Requires="x14">
            <control shapeId="1337" r:id="rId311" name="Check Box 313">
              <controlPr locked="0" defaultSize="0" autoFill="0" autoLine="0" autoPict="0">
                <anchor moveWithCells="1">
                  <from>
                    <xdr:col>8</xdr:col>
                    <xdr:colOff>88900</xdr:colOff>
                    <xdr:row>56</xdr:row>
                    <xdr:rowOff>63500</xdr:rowOff>
                  </from>
                  <to>
                    <xdr:col>8</xdr:col>
                    <xdr:colOff>285750</xdr:colOff>
                    <xdr:row>56</xdr:row>
                    <xdr:rowOff>279400</xdr:rowOff>
                  </to>
                </anchor>
              </controlPr>
            </control>
          </mc:Choice>
        </mc:AlternateContent>
        <mc:AlternateContent xmlns:mc="http://schemas.openxmlformats.org/markup-compatibility/2006">
          <mc:Choice Requires="x14">
            <control shapeId="1338" r:id="rId312" name="Check Box 314">
              <controlPr locked="0" defaultSize="0" autoFill="0" autoLine="0" autoPict="0">
                <anchor moveWithCells="1">
                  <from>
                    <xdr:col>2</xdr:col>
                    <xdr:colOff>88900</xdr:colOff>
                    <xdr:row>57</xdr:row>
                    <xdr:rowOff>63500</xdr:rowOff>
                  </from>
                  <to>
                    <xdr:col>2</xdr:col>
                    <xdr:colOff>285750</xdr:colOff>
                    <xdr:row>57</xdr:row>
                    <xdr:rowOff>279400</xdr:rowOff>
                  </to>
                </anchor>
              </controlPr>
            </control>
          </mc:Choice>
        </mc:AlternateContent>
        <mc:AlternateContent xmlns:mc="http://schemas.openxmlformats.org/markup-compatibility/2006">
          <mc:Choice Requires="x14">
            <control shapeId="1339" r:id="rId313" name="Check Box 315">
              <controlPr locked="0" defaultSize="0" autoFill="0" autoLine="0" autoPict="0">
                <anchor moveWithCells="1">
                  <from>
                    <xdr:col>3</xdr:col>
                    <xdr:colOff>88900</xdr:colOff>
                    <xdr:row>57</xdr:row>
                    <xdr:rowOff>63500</xdr:rowOff>
                  </from>
                  <to>
                    <xdr:col>3</xdr:col>
                    <xdr:colOff>285750</xdr:colOff>
                    <xdr:row>57</xdr:row>
                    <xdr:rowOff>279400</xdr:rowOff>
                  </to>
                </anchor>
              </controlPr>
            </control>
          </mc:Choice>
        </mc:AlternateContent>
        <mc:AlternateContent xmlns:mc="http://schemas.openxmlformats.org/markup-compatibility/2006">
          <mc:Choice Requires="x14">
            <control shapeId="1340" r:id="rId314" name="Check Box 316">
              <controlPr locked="0" defaultSize="0" autoFill="0" autoLine="0" autoPict="0">
                <anchor moveWithCells="1">
                  <from>
                    <xdr:col>4</xdr:col>
                    <xdr:colOff>88900</xdr:colOff>
                    <xdr:row>57</xdr:row>
                    <xdr:rowOff>63500</xdr:rowOff>
                  </from>
                  <to>
                    <xdr:col>4</xdr:col>
                    <xdr:colOff>285750</xdr:colOff>
                    <xdr:row>57</xdr:row>
                    <xdr:rowOff>279400</xdr:rowOff>
                  </to>
                </anchor>
              </controlPr>
            </control>
          </mc:Choice>
        </mc:AlternateContent>
        <mc:AlternateContent xmlns:mc="http://schemas.openxmlformats.org/markup-compatibility/2006">
          <mc:Choice Requires="x14">
            <control shapeId="1341" r:id="rId315" name="Check Box 317">
              <controlPr locked="0" defaultSize="0" autoFill="0" autoLine="0" autoPict="0">
                <anchor moveWithCells="1">
                  <from>
                    <xdr:col>5</xdr:col>
                    <xdr:colOff>88900</xdr:colOff>
                    <xdr:row>57</xdr:row>
                    <xdr:rowOff>63500</xdr:rowOff>
                  </from>
                  <to>
                    <xdr:col>5</xdr:col>
                    <xdr:colOff>285750</xdr:colOff>
                    <xdr:row>57</xdr:row>
                    <xdr:rowOff>279400</xdr:rowOff>
                  </to>
                </anchor>
              </controlPr>
            </control>
          </mc:Choice>
        </mc:AlternateContent>
        <mc:AlternateContent xmlns:mc="http://schemas.openxmlformats.org/markup-compatibility/2006">
          <mc:Choice Requires="x14">
            <control shapeId="1342" r:id="rId316" name="Check Box 318">
              <controlPr locked="0" defaultSize="0" autoFill="0" autoLine="0" autoPict="0">
                <anchor moveWithCells="1">
                  <from>
                    <xdr:col>6</xdr:col>
                    <xdr:colOff>88900</xdr:colOff>
                    <xdr:row>57</xdr:row>
                    <xdr:rowOff>63500</xdr:rowOff>
                  </from>
                  <to>
                    <xdr:col>6</xdr:col>
                    <xdr:colOff>285750</xdr:colOff>
                    <xdr:row>57</xdr:row>
                    <xdr:rowOff>279400</xdr:rowOff>
                  </to>
                </anchor>
              </controlPr>
            </control>
          </mc:Choice>
        </mc:AlternateContent>
        <mc:AlternateContent xmlns:mc="http://schemas.openxmlformats.org/markup-compatibility/2006">
          <mc:Choice Requires="x14">
            <control shapeId="1343" r:id="rId317" name="Check Box 319">
              <controlPr locked="0" defaultSize="0" autoFill="0" autoLine="0" autoPict="0">
                <anchor moveWithCells="1">
                  <from>
                    <xdr:col>7</xdr:col>
                    <xdr:colOff>88900</xdr:colOff>
                    <xdr:row>57</xdr:row>
                    <xdr:rowOff>63500</xdr:rowOff>
                  </from>
                  <to>
                    <xdr:col>7</xdr:col>
                    <xdr:colOff>285750</xdr:colOff>
                    <xdr:row>57</xdr:row>
                    <xdr:rowOff>279400</xdr:rowOff>
                  </to>
                </anchor>
              </controlPr>
            </control>
          </mc:Choice>
        </mc:AlternateContent>
        <mc:AlternateContent xmlns:mc="http://schemas.openxmlformats.org/markup-compatibility/2006">
          <mc:Choice Requires="x14">
            <control shapeId="1344" r:id="rId318" name="Check Box 320">
              <controlPr locked="0" defaultSize="0" autoFill="0" autoLine="0" autoPict="0">
                <anchor moveWithCells="1">
                  <from>
                    <xdr:col>8</xdr:col>
                    <xdr:colOff>88900</xdr:colOff>
                    <xdr:row>57</xdr:row>
                    <xdr:rowOff>63500</xdr:rowOff>
                  </from>
                  <to>
                    <xdr:col>8</xdr:col>
                    <xdr:colOff>285750</xdr:colOff>
                    <xdr:row>57</xdr:row>
                    <xdr:rowOff>279400</xdr:rowOff>
                  </to>
                </anchor>
              </controlPr>
            </control>
          </mc:Choice>
        </mc:AlternateContent>
        <mc:AlternateContent xmlns:mc="http://schemas.openxmlformats.org/markup-compatibility/2006">
          <mc:Choice Requires="x14">
            <control shapeId="1345" r:id="rId319" name="Check Box 321">
              <controlPr locked="0" defaultSize="0" autoFill="0" autoLine="0" autoPict="0">
                <anchor moveWithCells="1">
                  <from>
                    <xdr:col>2</xdr:col>
                    <xdr:colOff>88900</xdr:colOff>
                    <xdr:row>59</xdr:row>
                    <xdr:rowOff>63500</xdr:rowOff>
                  </from>
                  <to>
                    <xdr:col>2</xdr:col>
                    <xdr:colOff>285750</xdr:colOff>
                    <xdr:row>59</xdr:row>
                    <xdr:rowOff>279400</xdr:rowOff>
                  </to>
                </anchor>
              </controlPr>
            </control>
          </mc:Choice>
        </mc:AlternateContent>
        <mc:AlternateContent xmlns:mc="http://schemas.openxmlformats.org/markup-compatibility/2006">
          <mc:Choice Requires="x14">
            <control shapeId="1346" r:id="rId320" name="Check Box 322">
              <controlPr locked="0" defaultSize="0" autoFill="0" autoLine="0" autoPict="0">
                <anchor moveWithCells="1">
                  <from>
                    <xdr:col>3</xdr:col>
                    <xdr:colOff>88900</xdr:colOff>
                    <xdr:row>59</xdr:row>
                    <xdr:rowOff>63500</xdr:rowOff>
                  </from>
                  <to>
                    <xdr:col>3</xdr:col>
                    <xdr:colOff>285750</xdr:colOff>
                    <xdr:row>59</xdr:row>
                    <xdr:rowOff>279400</xdr:rowOff>
                  </to>
                </anchor>
              </controlPr>
            </control>
          </mc:Choice>
        </mc:AlternateContent>
        <mc:AlternateContent xmlns:mc="http://schemas.openxmlformats.org/markup-compatibility/2006">
          <mc:Choice Requires="x14">
            <control shapeId="1347" r:id="rId321" name="Check Box 323">
              <controlPr locked="0" defaultSize="0" autoFill="0" autoLine="0" autoPict="0">
                <anchor moveWithCells="1">
                  <from>
                    <xdr:col>4</xdr:col>
                    <xdr:colOff>88900</xdr:colOff>
                    <xdr:row>59</xdr:row>
                    <xdr:rowOff>63500</xdr:rowOff>
                  </from>
                  <to>
                    <xdr:col>4</xdr:col>
                    <xdr:colOff>285750</xdr:colOff>
                    <xdr:row>59</xdr:row>
                    <xdr:rowOff>279400</xdr:rowOff>
                  </to>
                </anchor>
              </controlPr>
            </control>
          </mc:Choice>
        </mc:AlternateContent>
        <mc:AlternateContent xmlns:mc="http://schemas.openxmlformats.org/markup-compatibility/2006">
          <mc:Choice Requires="x14">
            <control shapeId="1348" r:id="rId322" name="Check Box 324">
              <controlPr locked="0" defaultSize="0" autoFill="0" autoLine="0" autoPict="0">
                <anchor moveWithCells="1">
                  <from>
                    <xdr:col>5</xdr:col>
                    <xdr:colOff>88900</xdr:colOff>
                    <xdr:row>59</xdr:row>
                    <xdr:rowOff>63500</xdr:rowOff>
                  </from>
                  <to>
                    <xdr:col>5</xdr:col>
                    <xdr:colOff>285750</xdr:colOff>
                    <xdr:row>59</xdr:row>
                    <xdr:rowOff>279400</xdr:rowOff>
                  </to>
                </anchor>
              </controlPr>
            </control>
          </mc:Choice>
        </mc:AlternateContent>
        <mc:AlternateContent xmlns:mc="http://schemas.openxmlformats.org/markup-compatibility/2006">
          <mc:Choice Requires="x14">
            <control shapeId="1349" r:id="rId323" name="Check Box 325">
              <controlPr locked="0" defaultSize="0" autoFill="0" autoLine="0" autoPict="0">
                <anchor moveWithCells="1">
                  <from>
                    <xdr:col>6</xdr:col>
                    <xdr:colOff>88900</xdr:colOff>
                    <xdr:row>59</xdr:row>
                    <xdr:rowOff>63500</xdr:rowOff>
                  </from>
                  <to>
                    <xdr:col>6</xdr:col>
                    <xdr:colOff>285750</xdr:colOff>
                    <xdr:row>59</xdr:row>
                    <xdr:rowOff>279400</xdr:rowOff>
                  </to>
                </anchor>
              </controlPr>
            </control>
          </mc:Choice>
        </mc:AlternateContent>
        <mc:AlternateContent xmlns:mc="http://schemas.openxmlformats.org/markup-compatibility/2006">
          <mc:Choice Requires="x14">
            <control shapeId="1350" r:id="rId324" name="Check Box 326">
              <controlPr locked="0" defaultSize="0" autoFill="0" autoLine="0" autoPict="0">
                <anchor moveWithCells="1">
                  <from>
                    <xdr:col>7</xdr:col>
                    <xdr:colOff>88900</xdr:colOff>
                    <xdr:row>59</xdr:row>
                    <xdr:rowOff>63500</xdr:rowOff>
                  </from>
                  <to>
                    <xdr:col>7</xdr:col>
                    <xdr:colOff>285750</xdr:colOff>
                    <xdr:row>59</xdr:row>
                    <xdr:rowOff>279400</xdr:rowOff>
                  </to>
                </anchor>
              </controlPr>
            </control>
          </mc:Choice>
        </mc:AlternateContent>
        <mc:AlternateContent xmlns:mc="http://schemas.openxmlformats.org/markup-compatibility/2006">
          <mc:Choice Requires="x14">
            <control shapeId="1351" r:id="rId325" name="Check Box 327">
              <controlPr locked="0" defaultSize="0" autoFill="0" autoLine="0" autoPict="0">
                <anchor moveWithCells="1">
                  <from>
                    <xdr:col>8</xdr:col>
                    <xdr:colOff>88900</xdr:colOff>
                    <xdr:row>59</xdr:row>
                    <xdr:rowOff>63500</xdr:rowOff>
                  </from>
                  <to>
                    <xdr:col>8</xdr:col>
                    <xdr:colOff>285750</xdr:colOff>
                    <xdr:row>59</xdr:row>
                    <xdr:rowOff>279400</xdr:rowOff>
                  </to>
                </anchor>
              </controlPr>
            </control>
          </mc:Choice>
        </mc:AlternateContent>
        <mc:AlternateContent xmlns:mc="http://schemas.openxmlformats.org/markup-compatibility/2006">
          <mc:Choice Requires="x14">
            <control shapeId="1352" r:id="rId326" name="Check Box 328">
              <controlPr locked="0" defaultSize="0" autoFill="0" autoLine="0" autoPict="0">
                <anchor moveWithCells="1">
                  <from>
                    <xdr:col>2</xdr:col>
                    <xdr:colOff>88900</xdr:colOff>
                    <xdr:row>60</xdr:row>
                    <xdr:rowOff>63500</xdr:rowOff>
                  </from>
                  <to>
                    <xdr:col>2</xdr:col>
                    <xdr:colOff>285750</xdr:colOff>
                    <xdr:row>60</xdr:row>
                    <xdr:rowOff>279400</xdr:rowOff>
                  </to>
                </anchor>
              </controlPr>
            </control>
          </mc:Choice>
        </mc:AlternateContent>
        <mc:AlternateContent xmlns:mc="http://schemas.openxmlformats.org/markup-compatibility/2006">
          <mc:Choice Requires="x14">
            <control shapeId="1353" r:id="rId327" name="Check Box 329">
              <controlPr locked="0" defaultSize="0" autoFill="0" autoLine="0" autoPict="0">
                <anchor moveWithCells="1">
                  <from>
                    <xdr:col>3</xdr:col>
                    <xdr:colOff>88900</xdr:colOff>
                    <xdr:row>60</xdr:row>
                    <xdr:rowOff>63500</xdr:rowOff>
                  </from>
                  <to>
                    <xdr:col>3</xdr:col>
                    <xdr:colOff>285750</xdr:colOff>
                    <xdr:row>60</xdr:row>
                    <xdr:rowOff>279400</xdr:rowOff>
                  </to>
                </anchor>
              </controlPr>
            </control>
          </mc:Choice>
        </mc:AlternateContent>
        <mc:AlternateContent xmlns:mc="http://schemas.openxmlformats.org/markup-compatibility/2006">
          <mc:Choice Requires="x14">
            <control shapeId="1354" r:id="rId328" name="Check Box 330">
              <controlPr locked="0" defaultSize="0" autoFill="0" autoLine="0" autoPict="0">
                <anchor moveWithCells="1">
                  <from>
                    <xdr:col>4</xdr:col>
                    <xdr:colOff>88900</xdr:colOff>
                    <xdr:row>60</xdr:row>
                    <xdr:rowOff>63500</xdr:rowOff>
                  </from>
                  <to>
                    <xdr:col>4</xdr:col>
                    <xdr:colOff>285750</xdr:colOff>
                    <xdr:row>60</xdr:row>
                    <xdr:rowOff>279400</xdr:rowOff>
                  </to>
                </anchor>
              </controlPr>
            </control>
          </mc:Choice>
        </mc:AlternateContent>
        <mc:AlternateContent xmlns:mc="http://schemas.openxmlformats.org/markup-compatibility/2006">
          <mc:Choice Requires="x14">
            <control shapeId="1355" r:id="rId329" name="Check Box 331">
              <controlPr locked="0" defaultSize="0" autoFill="0" autoLine="0" autoPict="0">
                <anchor moveWithCells="1">
                  <from>
                    <xdr:col>5</xdr:col>
                    <xdr:colOff>88900</xdr:colOff>
                    <xdr:row>60</xdr:row>
                    <xdr:rowOff>63500</xdr:rowOff>
                  </from>
                  <to>
                    <xdr:col>5</xdr:col>
                    <xdr:colOff>285750</xdr:colOff>
                    <xdr:row>60</xdr:row>
                    <xdr:rowOff>279400</xdr:rowOff>
                  </to>
                </anchor>
              </controlPr>
            </control>
          </mc:Choice>
        </mc:AlternateContent>
        <mc:AlternateContent xmlns:mc="http://schemas.openxmlformats.org/markup-compatibility/2006">
          <mc:Choice Requires="x14">
            <control shapeId="1356" r:id="rId330" name="Check Box 332">
              <controlPr locked="0" defaultSize="0" autoFill="0" autoLine="0" autoPict="0">
                <anchor moveWithCells="1">
                  <from>
                    <xdr:col>6</xdr:col>
                    <xdr:colOff>88900</xdr:colOff>
                    <xdr:row>60</xdr:row>
                    <xdr:rowOff>63500</xdr:rowOff>
                  </from>
                  <to>
                    <xdr:col>6</xdr:col>
                    <xdr:colOff>285750</xdr:colOff>
                    <xdr:row>60</xdr:row>
                    <xdr:rowOff>279400</xdr:rowOff>
                  </to>
                </anchor>
              </controlPr>
            </control>
          </mc:Choice>
        </mc:AlternateContent>
        <mc:AlternateContent xmlns:mc="http://schemas.openxmlformats.org/markup-compatibility/2006">
          <mc:Choice Requires="x14">
            <control shapeId="1357" r:id="rId331" name="Check Box 333">
              <controlPr locked="0" defaultSize="0" autoFill="0" autoLine="0" autoPict="0">
                <anchor moveWithCells="1">
                  <from>
                    <xdr:col>7</xdr:col>
                    <xdr:colOff>88900</xdr:colOff>
                    <xdr:row>60</xdr:row>
                    <xdr:rowOff>63500</xdr:rowOff>
                  </from>
                  <to>
                    <xdr:col>7</xdr:col>
                    <xdr:colOff>285750</xdr:colOff>
                    <xdr:row>60</xdr:row>
                    <xdr:rowOff>279400</xdr:rowOff>
                  </to>
                </anchor>
              </controlPr>
            </control>
          </mc:Choice>
        </mc:AlternateContent>
        <mc:AlternateContent xmlns:mc="http://schemas.openxmlformats.org/markup-compatibility/2006">
          <mc:Choice Requires="x14">
            <control shapeId="1358" r:id="rId332" name="Check Box 334">
              <controlPr locked="0" defaultSize="0" autoFill="0" autoLine="0" autoPict="0">
                <anchor moveWithCells="1">
                  <from>
                    <xdr:col>8</xdr:col>
                    <xdr:colOff>88900</xdr:colOff>
                    <xdr:row>60</xdr:row>
                    <xdr:rowOff>63500</xdr:rowOff>
                  </from>
                  <to>
                    <xdr:col>8</xdr:col>
                    <xdr:colOff>285750</xdr:colOff>
                    <xdr:row>60</xdr:row>
                    <xdr:rowOff>279400</xdr:rowOff>
                  </to>
                </anchor>
              </controlPr>
            </control>
          </mc:Choice>
        </mc:AlternateContent>
        <mc:AlternateContent xmlns:mc="http://schemas.openxmlformats.org/markup-compatibility/2006">
          <mc:Choice Requires="x14">
            <control shapeId="1359" r:id="rId333" name="Check Box 335">
              <controlPr locked="0" defaultSize="0" autoFill="0" autoLine="0" autoPict="0">
                <anchor moveWithCells="1">
                  <from>
                    <xdr:col>2</xdr:col>
                    <xdr:colOff>88900</xdr:colOff>
                    <xdr:row>61</xdr:row>
                    <xdr:rowOff>63500</xdr:rowOff>
                  </from>
                  <to>
                    <xdr:col>2</xdr:col>
                    <xdr:colOff>285750</xdr:colOff>
                    <xdr:row>61</xdr:row>
                    <xdr:rowOff>279400</xdr:rowOff>
                  </to>
                </anchor>
              </controlPr>
            </control>
          </mc:Choice>
        </mc:AlternateContent>
        <mc:AlternateContent xmlns:mc="http://schemas.openxmlformats.org/markup-compatibility/2006">
          <mc:Choice Requires="x14">
            <control shapeId="1360" r:id="rId334" name="Check Box 336">
              <controlPr locked="0" defaultSize="0" autoFill="0" autoLine="0" autoPict="0">
                <anchor moveWithCells="1">
                  <from>
                    <xdr:col>3</xdr:col>
                    <xdr:colOff>88900</xdr:colOff>
                    <xdr:row>61</xdr:row>
                    <xdr:rowOff>63500</xdr:rowOff>
                  </from>
                  <to>
                    <xdr:col>3</xdr:col>
                    <xdr:colOff>285750</xdr:colOff>
                    <xdr:row>61</xdr:row>
                    <xdr:rowOff>279400</xdr:rowOff>
                  </to>
                </anchor>
              </controlPr>
            </control>
          </mc:Choice>
        </mc:AlternateContent>
        <mc:AlternateContent xmlns:mc="http://schemas.openxmlformats.org/markup-compatibility/2006">
          <mc:Choice Requires="x14">
            <control shapeId="1361" r:id="rId335" name="Check Box 337">
              <controlPr locked="0" defaultSize="0" autoFill="0" autoLine="0" autoPict="0">
                <anchor moveWithCells="1">
                  <from>
                    <xdr:col>4</xdr:col>
                    <xdr:colOff>88900</xdr:colOff>
                    <xdr:row>61</xdr:row>
                    <xdr:rowOff>63500</xdr:rowOff>
                  </from>
                  <to>
                    <xdr:col>4</xdr:col>
                    <xdr:colOff>285750</xdr:colOff>
                    <xdr:row>61</xdr:row>
                    <xdr:rowOff>279400</xdr:rowOff>
                  </to>
                </anchor>
              </controlPr>
            </control>
          </mc:Choice>
        </mc:AlternateContent>
        <mc:AlternateContent xmlns:mc="http://schemas.openxmlformats.org/markup-compatibility/2006">
          <mc:Choice Requires="x14">
            <control shapeId="1362" r:id="rId336" name="Check Box 338">
              <controlPr locked="0" defaultSize="0" autoFill="0" autoLine="0" autoPict="0">
                <anchor moveWithCells="1">
                  <from>
                    <xdr:col>5</xdr:col>
                    <xdr:colOff>88900</xdr:colOff>
                    <xdr:row>61</xdr:row>
                    <xdr:rowOff>63500</xdr:rowOff>
                  </from>
                  <to>
                    <xdr:col>5</xdr:col>
                    <xdr:colOff>285750</xdr:colOff>
                    <xdr:row>61</xdr:row>
                    <xdr:rowOff>279400</xdr:rowOff>
                  </to>
                </anchor>
              </controlPr>
            </control>
          </mc:Choice>
        </mc:AlternateContent>
        <mc:AlternateContent xmlns:mc="http://schemas.openxmlformats.org/markup-compatibility/2006">
          <mc:Choice Requires="x14">
            <control shapeId="1363" r:id="rId337" name="Check Box 339">
              <controlPr locked="0" defaultSize="0" autoFill="0" autoLine="0" autoPict="0">
                <anchor moveWithCells="1">
                  <from>
                    <xdr:col>6</xdr:col>
                    <xdr:colOff>88900</xdr:colOff>
                    <xdr:row>61</xdr:row>
                    <xdr:rowOff>63500</xdr:rowOff>
                  </from>
                  <to>
                    <xdr:col>6</xdr:col>
                    <xdr:colOff>285750</xdr:colOff>
                    <xdr:row>61</xdr:row>
                    <xdr:rowOff>279400</xdr:rowOff>
                  </to>
                </anchor>
              </controlPr>
            </control>
          </mc:Choice>
        </mc:AlternateContent>
        <mc:AlternateContent xmlns:mc="http://schemas.openxmlformats.org/markup-compatibility/2006">
          <mc:Choice Requires="x14">
            <control shapeId="1364" r:id="rId338" name="Check Box 340">
              <controlPr locked="0" defaultSize="0" autoFill="0" autoLine="0" autoPict="0">
                <anchor moveWithCells="1">
                  <from>
                    <xdr:col>7</xdr:col>
                    <xdr:colOff>88900</xdr:colOff>
                    <xdr:row>61</xdr:row>
                    <xdr:rowOff>63500</xdr:rowOff>
                  </from>
                  <to>
                    <xdr:col>7</xdr:col>
                    <xdr:colOff>285750</xdr:colOff>
                    <xdr:row>61</xdr:row>
                    <xdr:rowOff>279400</xdr:rowOff>
                  </to>
                </anchor>
              </controlPr>
            </control>
          </mc:Choice>
        </mc:AlternateContent>
        <mc:AlternateContent xmlns:mc="http://schemas.openxmlformats.org/markup-compatibility/2006">
          <mc:Choice Requires="x14">
            <control shapeId="1365" r:id="rId339" name="Check Box 341">
              <controlPr locked="0" defaultSize="0" autoFill="0" autoLine="0" autoPict="0">
                <anchor moveWithCells="1">
                  <from>
                    <xdr:col>8</xdr:col>
                    <xdr:colOff>88900</xdr:colOff>
                    <xdr:row>61</xdr:row>
                    <xdr:rowOff>63500</xdr:rowOff>
                  </from>
                  <to>
                    <xdr:col>8</xdr:col>
                    <xdr:colOff>285750</xdr:colOff>
                    <xdr:row>61</xdr:row>
                    <xdr:rowOff>279400</xdr:rowOff>
                  </to>
                </anchor>
              </controlPr>
            </control>
          </mc:Choice>
        </mc:AlternateContent>
        <mc:AlternateContent xmlns:mc="http://schemas.openxmlformats.org/markup-compatibility/2006">
          <mc:Choice Requires="x14">
            <control shapeId="1366" r:id="rId340" name="Check Box 342">
              <controlPr locked="0" defaultSize="0" autoFill="0" autoLine="0" autoPict="0">
                <anchor moveWithCells="1">
                  <from>
                    <xdr:col>2</xdr:col>
                    <xdr:colOff>88900</xdr:colOff>
                    <xdr:row>62</xdr:row>
                    <xdr:rowOff>63500</xdr:rowOff>
                  </from>
                  <to>
                    <xdr:col>2</xdr:col>
                    <xdr:colOff>285750</xdr:colOff>
                    <xdr:row>62</xdr:row>
                    <xdr:rowOff>279400</xdr:rowOff>
                  </to>
                </anchor>
              </controlPr>
            </control>
          </mc:Choice>
        </mc:AlternateContent>
        <mc:AlternateContent xmlns:mc="http://schemas.openxmlformats.org/markup-compatibility/2006">
          <mc:Choice Requires="x14">
            <control shapeId="1367" r:id="rId341" name="Check Box 343">
              <controlPr locked="0" defaultSize="0" autoFill="0" autoLine="0" autoPict="0">
                <anchor moveWithCells="1">
                  <from>
                    <xdr:col>3</xdr:col>
                    <xdr:colOff>88900</xdr:colOff>
                    <xdr:row>62</xdr:row>
                    <xdr:rowOff>63500</xdr:rowOff>
                  </from>
                  <to>
                    <xdr:col>3</xdr:col>
                    <xdr:colOff>285750</xdr:colOff>
                    <xdr:row>62</xdr:row>
                    <xdr:rowOff>279400</xdr:rowOff>
                  </to>
                </anchor>
              </controlPr>
            </control>
          </mc:Choice>
        </mc:AlternateContent>
        <mc:AlternateContent xmlns:mc="http://schemas.openxmlformats.org/markup-compatibility/2006">
          <mc:Choice Requires="x14">
            <control shapeId="1368" r:id="rId342" name="Check Box 344">
              <controlPr locked="0" defaultSize="0" autoFill="0" autoLine="0" autoPict="0">
                <anchor moveWithCells="1">
                  <from>
                    <xdr:col>4</xdr:col>
                    <xdr:colOff>88900</xdr:colOff>
                    <xdr:row>62</xdr:row>
                    <xdr:rowOff>63500</xdr:rowOff>
                  </from>
                  <to>
                    <xdr:col>4</xdr:col>
                    <xdr:colOff>285750</xdr:colOff>
                    <xdr:row>62</xdr:row>
                    <xdr:rowOff>279400</xdr:rowOff>
                  </to>
                </anchor>
              </controlPr>
            </control>
          </mc:Choice>
        </mc:AlternateContent>
        <mc:AlternateContent xmlns:mc="http://schemas.openxmlformats.org/markup-compatibility/2006">
          <mc:Choice Requires="x14">
            <control shapeId="1369" r:id="rId343" name="Check Box 345">
              <controlPr locked="0" defaultSize="0" autoFill="0" autoLine="0" autoPict="0">
                <anchor moveWithCells="1">
                  <from>
                    <xdr:col>5</xdr:col>
                    <xdr:colOff>88900</xdr:colOff>
                    <xdr:row>62</xdr:row>
                    <xdr:rowOff>63500</xdr:rowOff>
                  </from>
                  <to>
                    <xdr:col>5</xdr:col>
                    <xdr:colOff>285750</xdr:colOff>
                    <xdr:row>62</xdr:row>
                    <xdr:rowOff>279400</xdr:rowOff>
                  </to>
                </anchor>
              </controlPr>
            </control>
          </mc:Choice>
        </mc:AlternateContent>
        <mc:AlternateContent xmlns:mc="http://schemas.openxmlformats.org/markup-compatibility/2006">
          <mc:Choice Requires="x14">
            <control shapeId="1370" r:id="rId344" name="Check Box 346">
              <controlPr locked="0" defaultSize="0" autoFill="0" autoLine="0" autoPict="0">
                <anchor moveWithCells="1">
                  <from>
                    <xdr:col>6</xdr:col>
                    <xdr:colOff>88900</xdr:colOff>
                    <xdr:row>62</xdr:row>
                    <xdr:rowOff>63500</xdr:rowOff>
                  </from>
                  <to>
                    <xdr:col>6</xdr:col>
                    <xdr:colOff>285750</xdr:colOff>
                    <xdr:row>62</xdr:row>
                    <xdr:rowOff>279400</xdr:rowOff>
                  </to>
                </anchor>
              </controlPr>
            </control>
          </mc:Choice>
        </mc:AlternateContent>
        <mc:AlternateContent xmlns:mc="http://schemas.openxmlformats.org/markup-compatibility/2006">
          <mc:Choice Requires="x14">
            <control shapeId="1371" r:id="rId345" name="Check Box 347">
              <controlPr locked="0" defaultSize="0" autoFill="0" autoLine="0" autoPict="0">
                <anchor moveWithCells="1">
                  <from>
                    <xdr:col>7</xdr:col>
                    <xdr:colOff>88900</xdr:colOff>
                    <xdr:row>62</xdr:row>
                    <xdr:rowOff>63500</xdr:rowOff>
                  </from>
                  <to>
                    <xdr:col>7</xdr:col>
                    <xdr:colOff>285750</xdr:colOff>
                    <xdr:row>62</xdr:row>
                    <xdr:rowOff>279400</xdr:rowOff>
                  </to>
                </anchor>
              </controlPr>
            </control>
          </mc:Choice>
        </mc:AlternateContent>
        <mc:AlternateContent xmlns:mc="http://schemas.openxmlformats.org/markup-compatibility/2006">
          <mc:Choice Requires="x14">
            <control shapeId="1372" r:id="rId346" name="Check Box 348">
              <controlPr locked="0" defaultSize="0" autoFill="0" autoLine="0" autoPict="0">
                <anchor moveWithCells="1">
                  <from>
                    <xdr:col>8</xdr:col>
                    <xdr:colOff>88900</xdr:colOff>
                    <xdr:row>62</xdr:row>
                    <xdr:rowOff>63500</xdr:rowOff>
                  </from>
                  <to>
                    <xdr:col>8</xdr:col>
                    <xdr:colOff>285750</xdr:colOff>
                    <xdr:row>62</xdr:row>
                    <xdr:rowOff>279400</xdr:rowOff>
                  </to>
                </anchor>
              </controlPr>
            </control>
          </mc:Choice>
        </mc:AlternateContent>
        <mc:AlternateContent xmlns:mc="http://schemas.openxmlformats.org/markup-compatibility/2006">
          <mc:Choice Requires="x14">
            <control shapeId="1373" r:id="rId347" name="Check Box 349">
              <controlPr locked="0" defaultSize="0" autoFill="0" autoLine="0" autoPict="0">
                <anchor moveWithCells="1">
                  <from>
                    <xdr:col>2</xdr:col>
                    <xdr:colOff>88900</xdr:colOff>
                    <xdr:row>63</xdr:row>
                    <xdr:rowOff>63500</xdr:rowOff>
                  </from>
                  <to>
                    <xdr:col>2</xdr:col>
                    <xdr:colOff>285750</xdr:colOff>
                    <xdr:row>63</xdr:row>
                    <xdr:rowOff>279400</xdr:rowOff>
                  </to>
                </anchor>
              </controlPr>
            </control>
          </mc:Choice>
        </mc:AlternateContent>
        <mc:AlternateContent xmlns:mc="http://schemas.openxmlformats.org/markup-compatibility/2006">
          <mc:Choice Requires="x14">
            <control shapeId="1374" r:id="rId348" name="Check Box 350">
              <controlPr locked="0" defaultSize="0" autoFill="0" autoLine="0" autoPict="0">
                <anchor moveWithCells="1">
                  <from>
                    <xdr:col>3</xdr:col>
                    <xdr:colOff>88900</xdr:colOff>
                    <xdr:row>63</xdr:row>
                    <xdr:rowOff>63500</xdr:rowOff>
                  </from>
                  <to>
                    <xdr:col>3</xdr:col>
                    <xdr:colOff>285750</xdr:colOff>
                    <xdr:row>63</xdr:row>
                    <xdr:rowOff>279400</xdr:rowOff>
                  </to>
                </anchor>
              </controlPr>
            </control>
          </mc:Choice>
        </mc:AlternateContent>
        <mc:AlternateContent xmlns:mc="http://schemas.openxmlformats.org/markup-compatibility/2006">
          <mc:Choice Requires="x14">
            <control shapeId="1375" r:id="rId349" name="Check Box 351">
              <controlPr locked="0" defaultSize="0" autoFill="0" autoLine="0" autoPict="0">
                <anchor moveWithCells="1">
                  <from>
                    <xdr:col>4</xdr:col>
                    <xdr:colOff>88900</xdr:colOff>
                    <xdr:row>63</xdr:row>
                    <xdr:rowOff>63500</xdr:rowOff>
                  </from>
                  <to>
                    <xdr:col>4</xdr:col>
                    <xdr:colOff>285750</xdr:colOff>
                    <xdr:row>63</xdr:row>
                    <xdr:rowOff>279400</xdr:rowOff>
                  </to>
                </anchor>
              </controlPr>
            </control>
          </mc:Choice>
        </mc:AlternateContent>
        <mc:AlternateContent xmlns:mc="http://schemas.openxmlformats.org/markup-compatibility/2006">
          <mc:Choice Requires="x14">
            <control shapeId="1376" r:id="rId350" name="Check Box 352">
              <controlPr locked="0" defaultSize="0" autoFill="0" autoLine="0" autoPict="0">
                <anchor moveWithCells="1">
                  <from>
                    <xdr:col>5</xdr:col>
                    <xdr:colOff>88900</xdr:colOff>
                    <xdr:row>63</xdr:row>
                    <xdr:rowOff>63500</xdr:rowOff>
                  </from>
                  <to>
                    <xdr:col>5</xdr:col>
                    <xdr:colOff>285750</xdr:colOff>
                    <xdr:row>63</xdr:row>
                    <xdr:rowOff>279400</xdr:rowOff>
                  </to>
                </anchor>
              </controlPr>
            </control>
          </mc:Choice>
        </mc:AlternateContent>
        <mc:AlternateContent xmlns:mc="http://schemas.openxmlformats.org/markup-compatibility/2006">
          <mc:Choice Requires="x14">
            <control shapeId="1377" r:id="rId351" name="Check Box 353">
              <controlPr locked="0" defaultSize="0" autoFill="0" autoLine="0" autoPict="0">
                <anchor moveWithCells="1">
                  <from>
                    <xdr:col>6</xdr:col>
                    <xdr:colOff>88900</xdr:colOff>
                    <xdr:row>63</xdr:row>
                    <xdr:rowOff>63500</xdr:rowOff>
                  </from>
                  <to>
                    <xdr:col>6</xdr:col>
                    <xdr:colOff>285750</xdr:colOff>
                    <xdr:row>63</xdr:row>
                    <xdr:rowOff>279400</xdr:rowOff>
                  </to>
                </anchor>
              </controlPr>
            </control>
          </mc:Choice>
        </mc:AlternateContent>
        <mc:AlternateContent xmlns:mc="http://schemas.openxmlformats.org/markup-compatibility/2006">
          <mc:Choice Requires="x14">
            <control shapeId="1378" r:id="rId352" name="Check Box 354">
              <controlPr locked="0" defaultSize="0" autoFill="0" autoLine="0" autoPict="0">
                <anchor moveWithCells="1">
                  <from>
                    <xdr:col>7</xdr:col>
                    <xdr:colOff>88900</xdr:colOff>
                    <xdr:row>63</xdr:row>
                    <xdr:rowOff>63500</xdr:rowOff>
                  </from>
                  <to>
                    <xdr:col>7</xdr:col>
                    <xdr:colOff>285750</xdr:colOff>
                    <xdr:row>63</xdr:row>
                    <xdr:rowOff>279400</xdr:rowOff>
                  </to>
                </anchor>
              </controlPr>
            </control>
          </mc:Choice>
        </mc:AlternateContent>
        <mc:AlternateContent xmlns:mc="http://schemas.openxmlformats.org/markup-compatibility/2006">
          <mc:Choice Requires="x14">
            <control shapeId="1379" r:id="rId353" name="Check Box 355">
              <controlPr locked="0" defaultSize="0" autoFill="0" autoLine="0" autoPict="0">
                <anchor moveWithCells="1">
                  <from>
                    <xdr:col>8</xdr:col>
                    <xdr:colOff>88900</xdr:colOff>
                    <xdr:row>63</xdr:row>
                    <xdr:rowOff>63500</xdr:rowOff>
                  </from>
                  <to>
                    <xdr:col>8</xdr:col>
                    <xdr:colOff>285750</xdr:colOff>
                    <xdr:row>63</xdr:row>
                    <xdr:rowOff>279400</xdr:rowOff>
                  </to>
                </anchor>
              </controlPr>
            </control>
          </mc:Choice>
        </mc:AlternateContent>
        <mc:AlternateContent xmlns:mc="http://schemas.openxmlformats.org/markup-compatibility/2006">
          <mc:Choice Requires="x14">
            <control shapeId="1380" r:id="rId354" name="Check Box 356">
              <controlPr locked="0" defaultSize="0" autoFill="0" autoLine="0" autoPict="0">
                <anchor moveWithCells="1">
                  <from>
                    <xdr:col>2</xdr:col>
                    <xdr:colOff>88900</xdr:colOff>
                    <xdr:row>65</xdr:row>
                    <xdr:rowOff>63500</xdr:rowOff>
                  </from>
                  <to>
                    <xdr:col>2</xdr:col>
                    <xdr:colOff>285750</xdr:colOff>
                    <xdr:row>65</xdr:row>
                    <xdr:rowOff>279400</xdr:rowOff>
                  </to>
                </anchor>
              </controlPr>
            </control>
          </mc:Choice>
        </mc:AlternateContent>
        <mc:AlternateContent xmlns:mc="http://schemas.openxmlformats.org/markup-compatibility/2006">
          <mc:Choice Requires="x14">
            <control shapeId="1381" r:id="rId355" name="Check Box 357">
              <controlPr locked="0" defaultSize="0" autoFill="0" autoLine="0" autoPict="0">
                <anchor moveWithCells="1">
                  <from>
                    <xdr:col>3</xdr:col>
                    <xdr:colOff>88900</xdr:colOff>
                    <xdr:row>65</xdr:row>
                    <xdr:rowOff>63500</xdr:rowOff>
                  </from>
                  <to>
                    <xdr:col>3</xdr:col>
                    <xdr:colOff>285750</xdr:colOff>
                    <xdr:row>65</xdr:row>
                    <xdr:rowOff>279400</xdr:rowOff>
                  </to>
                </anchor>
              </controlPr>
            </control>
          </mc:Choice>
        </mc:AlternateContent>
        <mc:AlternateContent xmlns:mc="http://schemas.openxmlformats.org/markup-compatibility/2006">
          <mc:Choice Requires="x14">
            <control shapeId="1382" r:id="rId356" name="Check Box 358">
              <controlPr locked="0" defaultSize="0" autoFill="0" autoLine="0" autoPict="0">
                <anchor moveWithCells="1">
                  <from>
                    <xdr:col>4</xdr:col>
                    <xdr:colOff>88900</xdr:colOff>
                    <xdr:row>65</xdr:row>
                    <xdr:rowOff>63500</xdr:rowOff>
                  </from>
                  <to>
                    <xdr:col>4</xdr:col>
                    <xdr:colOff>285750</xdr:colOff>
                    <xdr:row>65</xdr:row>
                    <xdr:rowOff>279400</xdr:rowOff>
                  </to>
                </anchor>
              </controlPr>
            </control>
          </mc:Choice>
        </mc:AlternateContent>
        <mc:AlternateContent xmlns:mc="http://schemas.openxmlformats.org/markup-compatibility/2006">
          <mc:Choice Requires="x14">
            <control shapeId="1383" r:id="rId357" name="Check Box 359">
              <controlPr locked="0" defaultSize="0" autoFill="0" autoLine="0" autoPict="0">
                <anchor moveWithCells="1">
                  <from>
                    <xdr:col>5</xdr:col>
                    <xdr:colOff>88900</xdr:colOff>
                    <xdr:row>65</xdr:row>
                    <xdr:rowOff>63500</xdr:rowOff>
                  </from>
                  <to>
                    <xdr:col>5</xdr:col>
                    <xdr:colOff>285750</xdr:colOff>
                    <xdr:row>65</xdr:row>
                    <xdr:rowOff>279400</xdr:rowOff>
                  </to>
                </anchor>
              </controlPr>
            </control>
          </mc:Choice>
        </mc:AlternateContent>
        <mc:AlternateContent xmlns:mc="http://schemas.openxmlformats.org/markup-compatibility/2006">
          <mc:Choice Requires="x14">
            <control shapeId="1384" r:id="rId358" name="Check Box 360">
              <controlPr locked="0" defaultSize="0" autoFill="0" autoLine="0" autoPict="0">
                <anchor moveWithCells="1">
                  <from>
                    <xdr:col>6</xdr:col>
                    <xdr:colOff>88900</xdr:colOff>
                    <xdr:row>65</xdr:row>
                    <xdr:rowOff>63500</xdr:rowOff>
                  </from>
                  <to>
                    <xdr:col>6</xdr:col>
                    <xdr:colOff>285750</xdr:colOff>
                    <xdr:row>65</xdr:row>
                    <xdr:rowOff>279400</xdr:rowOff>
                  </to>
                </anchor>
              </controlPr>
            </control>
          </mc:Choice>
        </mc:AlternateContent>
        <mc:AlternateContent xmlns:mc="http://schemas.openxmlformats.org/markup-compatibility/2006">
          <mc:Choice Requires="x14">
            <control shapeId="1385" r:id="rId359" name="Check Box 361">
              <controlPr locked="0" defaultSize="0" autoFill="0" autoLine="0" autoPict="0">
                <anchor moveWithCells="1">
                  <from>
                    <xdr:col>7</xdr:col>
                    <xdr:colOff>88900</xdr:colOff>
                    <xdr:row>65</xdr:row>
                    <xdr:rowOff>63500</xdr:rowOff>
                  </from>
                  <to>
                    <xdr:col>7</xdr:col>
                    <xdr:colOff>285750</xdr:colOff>
                    <xdr:row>65</xdr:row>
                    <xdr:rowOff>279400</xdr:rowOff>
                  </to>
                </anchor>
              </controlPr>
            </control>
          </mc:Choice>
        </mc:AlternateContent>
        <mc:AlternateContent xmlns:mc="http://schemas.openxmlformats.org/markup-compatibility/2006">
          <mc:Choice Requires="x14">
            <control shapeId="1386" r:id="rId360" name="Check Box 362">
              <controlPr locked="0" defaultSize="0" autoFill="0" autoLine="0" autoPict="0">
                <anchor moveWithCells="1">
                  <from>
                    <xdr:col>8</xdr:col>
                    <xdr:colOff>88900</xdr:colOff>
                    <xdr:row>65</xdr:row>
                    <xdr:rowOff>63500</xdr:rowOff>
                  </from>
                  <to>
                    <xdr:col>8</xdr:col>
                    <xdr:colOff>285750</xdr:colOff>
                    <xdr:row>65</xdr:row>
                    <xdr:rowOff>279400</xdr:rowOff>
                  </to>
                </anchor>
              </controlPr>
            </control>
          </mc:Choice>
        </mc:AlternateContent>
        <mc:AlternateContent xmlns:mc="http://schemas.openxmlformats.org/markup-compatibility/2006">
          <mc:Choice Requires="x14">
            <control shapeId="1387" r:id="rId361" name="Check Box 363">
              <controlPr locked="0" defaultSize="0" autoFill="0" autoLine="0" autoPict="0">
                <anchor moveWithCells="1">
                  <from>
                    <xdr:col>2</xdr:col>
                    <xdr:colOff>88900</xdr:colOff>
                    <xdr:row>66</xdr:row>
                    <xdr:rowOff>63500</xdr:rowOff>
                  </from>
                  <to>
                    <xdr:col>2</xdr:col>
                    <xdr:colOff>285750</xdr:colOff>
                    <xdr:row>66</xdr:row>
                    <xdr:rowOff>279400</xdr:rowOff>
                  </to>
                </anchor>
              </controlPr>
            </control>
          </mc:Choice>
        </mc:AlternateContent>
        <mc:AlternateContent xmlns:mc="http://schemas.openxmlformats.org/markup-compatibility/2006">
          <mc:Choice Requires="x14">
            <control shapeId="1388" r:id="rId362" name="Check Box 364">
              <controlPr locked="0" defaultSize="0" autoFill="0" autoLine="0" autoPict="0">
                <anchor moveWithCells="1">
                  <from>
                    <xdr:col>3</xdr:col>
                    <xdr:colOff>88900</xdr:colOff>
                    <xdr:row>66</xdr:row>
                    <xdr:rowOff>63500</xdr:rowOff>
                  </from>
                  <to>
                    <xdr:col>3</xdr:col>
                    <xdr:colOff>285750</xdr:colOff>
                    <xdr:row>66</xdr:row>
                    <xdr:rowOff>279400</xdr:rowOff>
                  </to>
                </anchor>
              </controlPr>
            </control>
          </mc:Choice>
        </mc:AlternateContent>
        <mc:AlternateContent xmlns:mc="http://schemas.openxmlformats.org/markup-compatibility/2006">
          <mc:Choice Requires="x14">
            <control shapeId="1389" r:id="rId363" name="Check Box 365">
              <controlPr locked="0" defaultSize="0" autoFill="0" autoLine="0" autoPict="0">
                <anchor moveWithCells="1">
                  <from>
                    <xdr:col>4</xdr:col>
                    <xdr:colOff>88900</xdr:colOff>
                    <xdr:row>66</xdr:row>
                    <xdr:rowOff>63500</xdr:rowOff>
                  </from>
                  <to>
                    <xdr:col>4</xdr:col>
                    <xdr:colOff>285750</xdr:colOff>
                    <xdr:row>66</xdr:row>
                    <xdr:rowOff>279400</xdr:rowOff>
                  </to>
                </anchor>
              </controlPr>
            </control>
          </mc:Choice>
        </mc:AlternateContent>
        <mc:AlternateContent xmlns:mc="http://schemas.openxmlformats.org/markup-compatibility/2006">
          <mc:Choice Requires="x14">
            <control shapeId="1390" r:id="rId364" name="Check Box 366">
              <controlPr locked="0" defaultSize="0" autoFill="0" autoLine="0" autoPict="0">
                <anchor moveWithCells="1">
                  <from>
                    <xdr:col>5</xdr:col>
                    <xdr:colOff>88900</xdr:colOff>
                    <xdr:row>66</xdr:row>
                    <xdr:rowOff>63500</xdr:rowOff>
                  </from>
                  <to>
                    <xdr:col>5</xdr:col>
                    <xdr:colOff>285750</xdr:colOff>
                    <xdr:row>66</xdr:row>
                    <xdr:rowOff>279400</xdr:rowOff>
                  </to>
                </anchor>
              </controlPr>
            </control>
          </mc:Choice>
        </mc:AlternateContent>
        <mc:AlternateContent xmlns:mc="http://schemas.openxmlformats.org/markup-compatibility/2006">
          <mc:Choice Requires="x14">
            <control shapeId="1391" r:id="rId365" name="Check Box 367">
              <controlPr locked="0" defaultSize="0" autoFill="0" autoLine="0" autoPict="0">
                <anchor moveWithCells="1">
                  <from>
                    <xdr:col>6</xdr:col>
                    <xdr:colOff>88900</xdr:colOff>
                    <xdr:row>66</xdr:row>
                    <xdr:rowOff>63500</xdr:rowOff>
                  </from>
                  <to>
                    <xdr:col>6</xdr:col>
                    <xdr:colOff>285750</xdr:colOff>
                    <xdr:row>66</xdr:row>
                    <xdr:rowOff>279400</xdr:rowOff>
                  </to>
                </anchor>
              </controlPr>
            </control>
          </mc:Choice>
        </mc:AlternateContent>
        <mc:AlternateContent xmlns:mc="http://schemas.openxmlformats.org/markup-compatibility/2006">
          <mc:Choice Requires="x14">
            <control shapeId="1392" r:id="rId366" name="Check Box 368">
              <controlPr locked="0" defaultSize="0" autoFill="0" autoLine="0" autoPict="0">
                <anchor moveWithCells="1">
                  <from>
                    <xdr:col>7</xdr:col>
                    <xdr:colOff>88900</xdr:colOff>
                    <xdr:row>66</xdr:row>
                    <xdr:rowOff>63500</xdr:rowOff>
                  </from>
                  <to>
                    <xdr:col>7</xdr:col>
                    <xdr:colOff>285750</xdr:colOff>
                    <xdr:row>66</xdr:row>
                    <xdr:rowOff>279400</xdr:rowOff>
                  </to>
                </anchor>
              </controlPr>
            </control>
          </mc:Choice>
        </mc:AlternateContent>
        <mc:AlternateContent xmlns:mc="http://schemas.openxmlformats.org/markup-compatibility/2006">
          <mc:Choice Requires="x14">
            <control shapeId="1393" r:id="rId367" name="Check Box 369">
              <controlPr locked="0" defaultSize="0" autoFill="0" autoLine="0" autoPict="0">
                <anchor moveWithCells="1">
                  <from>
                    <xdr:col>8</xdr:col>
                    <xdr:colOff>88900</xdr:colOff>
                    <xdr:row>66</xdr:row>
                    <xdr:rowOff>63500</xdr:rowOff>
                  </from>
                  <to>
                    <xdr:col>8</xdr:col>
                    <xdr:colOff>285750</xdr:colOff>
                    <xdr:row>66</xdr:row>
                    <xdr:rowOff>279400</xdr:rowOff>
                  </to>
                </anchor>
              </controlPr>
            </control>
          </mc:Choice>
        </mc:AlternateContent>
        <mc:AlternateContent xmlns:mc="http://schemas.openxmlformats.org/markup-compatibility/2006">
          <mc:Choice Requires="x14">
            <control shapeId="1394" r:id="rId368" name="Check Box 370">
              <controlPr locked="0" defaultSize="0" autoFill="0" autoLine="0" autoPict="0">
                <anchor moveWithCells="1">
                  <from>
                    <xdr:col>2</xdr:col>
                    <xdr:colOff>88900</xdr:colOff>
                    <xdr:row>67</xdr:row>
                    <xdr:rowOff>63500</xdr:rowOff>
                  </from>
                  <to>
                    <xdr:col>2</xdr:col>
                    <xdr:colOff>285750</xdr:colOff>
                    <xdr:row>67</xdr:row>
                    <xdr:rowOff>279400</xdr:rowOff>
                  </to>
                </anchor>
              </controlPr>
            </control>
          </mc:Choice>
        </mc:AlternateContent>
        <mc:AlternateContent xmlns:mc="http://schemas.openxmlformats.org/markup-compatibility/2006">
          <mc:Choice Requires="x14">
            <control shapeId="1395" r:id="rId369" name="Check Box 371">
              <controlPr locked="0" defaultSize="0" autoFill="0" autoLine="0" autoPict="0">
                <anchor moveWithCells="1">
                  <from>
                    <xdr:col>3</xdr:col>
                    <xdr:colOff>88900</xdr:colOff>
                    <xdr:row>67</xdr:row>
                    <xdr:rowOff>63500</xdr:rowOff>
                  </from>
                  <to>
                    <xdr:col>3</xdr:col>
                    <xdr:colOff>285750</xdr:colOff>
                    <xdr:row>67</xdr:row>
                    <xdr:rowOff>279400</xdr:rowOff>
                  </to>
                </anchor>
              </controlPr>
            </control>
          </mc:Choice>
        </mc:AlternateContent>
        <mc:AlternateContent xmlns:mc="http://schemas.openxmlformats.org/markup-compatibility/2006">
          <mc:Choice Requires="x14">
            <control shapeId="1396" r:id="rId370" name="Check Box 372">
              <controlPr locked="0" defaultSize="0" autoFill="0" autoLine="0" autoPict="0">
                <anchor moveWithCells="1">
                  <from>
                    <xdr:col>4</xdr:col>
                    <xdr:colOff>88900</xdr:colOff>
                    <xdr:row>67</xdr:row>
                    <xdr:rowOff>63500</xdr:rowOff>
                  </from>
                  <to>
                    <xdr:col>4</xdr:col>
                    <xdr:colOff>285750</xdr:colOff>
                    <xdr:row>67</xdr:row>
                    <xdr:rowOff>279400</xdr:rowOff>
                  </to>
                </anchor>
              </controlPr>
            </control>
          </mc:Choice>
        </mc:AlternateContent>
        <mc:AlternateContent xmlns:mc="http://schemas.openxmlformats.org/markup-compatibility/2006">
          <mc:Choice Requires="x14">
            <control shapeId="1397" r:id="rId371" name="Check Box 373">
              <controlPr locked="0" defaultSize="0" autoFill="0" autoLine="0" autoPict="0">
                <anchor moveWithCells="1">
                  <from>
                    <xdr:col>5</xdr:col>
                    <xdr:colOff>88900</xdr:colOff>
                    <xdr:row>67</xdr:row>
                    <xdr:rowOff>63500</xdr:rowOff>
                  </from>
                  <to>
                    <xdr:col>5</xdr:col>
                    <xdr:colOff>285750</xdr:colOff>
                    <xdr:row>67</xdr:row>
                    <xdr:rowOff>279400</xdr:rowOff>
                  </to>
                </anchor>
              </controlPr>
            </control>
          </mc:Choice>
        </mc:AlternateContent>
        <mc:AlternateContent xmlns:mc="http://schemas.openxmlformats.org/markup-compatibility/2006">
          <mc:Choice Requires="x14">
            <control shapeId="1398" r:id="rId372" name="Check Box 374">
              <controlPr locked="0" defaultSize="0" autoFill="0" autoLine="0" autoPict="0">
                <anchor moveWithCells="1">
                  <from>
                    <xdr:col>6</xdr:col>
                    <xdr:colOff>88900</xdr:colOff>
                    <xdr:row>67</xdr:row>
                    <xdr:rowOff>63500</xdr:rowOff>
                  </from>
                  <to>
                    <xdr:col>6</xdr:col>
                    <xdr:colOff>285750</xdr:colOff>
                    <xdr:row>67</xdr:row>
                    <xdr:rowOff>279400</xdr:rowOff>
                  </to>
                </anchor>
              </controlPr>
            </control>
          </mc:Choice>
        </mc:AlternateContent>
        <mc:AlternateContent xmlns:mc="http://schemas.openxmlformats.org/markup-compatibility/2006">
          <mc:Choice Requires="x14">
            <control shapeId="1399" r:id="rId373" name="Check Box 375">
              <controlPr locked="0" defaultSize="0" autoFill="0" autoLine="0" autoPict="0">
                <anchor moveWithCells="1">
                  <from>
                    <xdr:col>7</xdr:col>
                    <xdr:colOff>88900</xdr:colOff>
                    <xdr:row>67</xdr:row>
                    <xdr:rowOff>63500</xdr:rowOff>
                  </from>
                  <to>
                    <xdr:col>7</xdr:col>
                    <xdr:colOff>285750</xdr:colOff>
                    <xdr:row>67</xdr:row>
                    <xdr:rowOff>279400</xdr:rowOff>
                  </to>
                </anchor>
              </controlPr>
            </control>
          </mc:Choice>
        </mc:AlternateContent>
        <mc:AlternateContent xmlns:mc="http://schemas.openxmlformats.org/markup-compatibility/2006">
          <mc:Choice Requires="x14">
            <control shapeId="1400" r:id="rId374" name="Check Box 376">
              <controlPr locked="0" defaultSize="0" autoFill="0" autoLine="0" autoPict="0">
                <anchor moveWithCells="1">
                  <from>
                    <xdr:col>8</xdr:col>
                    <xdr:colOff>88900</xdr:colOff>
                    <xdr:row>67</xdr:row>
                    <xdr:rowOff>63500</xdr:rowOff>
                  </from>
                  <to>
                    <xdr:col>8</xdr:col>
                    <xdr:colOff>285750</xdr:colOff>
                    <xdr:row>67</xdr:row>
                    <xdr:rowOff>279400</xdr:rowOff>
                  </to>
                </anchor>
              </controlPr>
            </control>
          </mc:Choice>
        </mc:AlternateContent>
        <mc:AlternateContent xmlns:mc="http://schemas.openxmlformats.org/markup-compatibility/2006">
          <mc:Choice Requires="x14">
            <control shapeId="1401" r:id="rId375" name="Check Box 377">
              <controlPr locked="0" defaultSize="0" autoFill="0" autoLine="0" autoPict="0">
                <anchor moveWithCells="1">
                  <from>
                    <xdr:col>2</xdr:col>
                    <xdr:colOff>88900</xdr:colOff>
                    <xdr:row>68</xdr:row>
                    <xdr:rowOff>63500</xdr:rowOff>
                  </from>
                  <to>
                    <xdr:col>2</xdr:col>
                    <xdr:colOff>285750</xdr:colOff>
                    <xdr:row>68</xdr:row>
                    <xdr:rowOff>279400</xdr:rowOff>
                  </to>
                </anchor>
              </controlPr>
            </control>
          </mc:Choice>
        </mc:AlternateContent>
        <mc:AlternateContent xmlns:mc="http://schemas.openxmlformats.org/markup-compatibility/2006">
          <mc:Choice Requires="x14">
            <control shapeId="1402" r:id="rId376" name="Check Box 378">
              <controlPr locked="0" defaultSize="0" autoFill="0" autoLine="0" autoPict="0">
                <anchor moveWithCells="1">
                  <from>
                    <xdr:col>3</xdr:col>
                    <xdr:colOff>88900</xdr:colOff>
                    <xdr:row>68</xdr:row>
                    <xdr:rowOff>63500</xdr:rowOff>
                  </from>
                  <to>
                    <xdr:col>3</xdr:col>
                    <xdr:colOff>285750</xdr:colOff>
                    <xdr:row>68</xdr:row>
                    <xdr:rowOff>279400</xdr:rowOff>
                  </to>
                </anchor>
              </controlPr>
            </control>
          </mc:Choice>
        </mc:AlternateContent>
        <mc:AlternateContent xmlns:mc="http://schemas.openxmlformats.org/markup-compatibility/2006">
          <mc:Choice Requires="x14">
            <control shapeId="1403" r:id="rId377" name="Check Box 379">
              <controlPr locked="0" defaultSize="0" autoFill="0" autoLine="0" autoPict="0">
                <anchor moveWithCells="1">
                  <from>
                    <xdr:col>4</xdr:col>
                    <xdr:colOff>88900</xdr:colOff>
                    <xdr:row>68</xdr:row>
                    <xdr:rowOff>63500</xdr:rowOff>
                  </from>
                  <to>
                    <xdr:col>4</xdr:col>
                    <xdr:colOff>285750</xdr:colOff>
                    <xdr:row>68</xdr:row>
                    <xdr:rowOff>279400</xdr:rowOff>
                  </to>
                </anchor>
              </controlPr>
            </control>
          </mc:Choice>
        </mc:AlternateContent>
        <mc:AlternateContent xmlns:mc="http://schemas.openxmlformats.org/markup-compatibility/2006">
          <mc:Choice Requires="x14">
            <control shapeId="1404" r:id="rId378" name="Check Box 380">
              <controlPr locked="0" defaultSize="0" autoFill="0" autoLine="0" autoPict="0">
                <anchor moveWithCells="1">
                  <from>
                    <xdr:col>5</xdr:col>
                    <xdr:colOff>88900</xdr:colOff>
                    <xdr:row>68</xdr:row>
                    <xdr:rowOff>63500</xdr:rowOff>
                  </from>
                  <to>
                    <xdr:col>5</xdr:col>
                    <xdr:colOff>285750</xdr:colOff>
                    <xdr:row>68</xdr:row>
                    <xdr:rowOff>279400</xdr:rowOff>
                  </to>
                </anchor>
              </controlPr>
            </control>
          </mc:Choice>
        </mc:AlternateContent>
        <mc:AlternateContent xmlns:mc="http://schemas.openxmlformats.org/markup-compatibility/2006">
          <mc:Choice Requires="x14">
            <control shapeId="1405" r:id="rId379" name="Check Box 381">
              <controlPr locked="0" defaultSize="0" autoFill="0" autoLine="0" autoPict="0">
                <anchor moveWithCells="1">
                  <from>
                    <xdr:col>6</xdr:col>
                    <xdr:colOff>88900</xdr:colOff>
                    <xdr:row>68</xdr:row>
                    <xdr:rowOff>63500</xdr:rowOff>
                  </from>
                  <to>
                    <xdr:col>6</xdr:col>
                    <xdr:colOff>285750</xdr:colOff>
                    <xdr:row>68</xdr:row>
                    <xdr:rowOff>279400</xdr:rowOff>
                  </to>
                </anchor>
              </controlPr>
            </control>
          </mc:Choice>
        </mc:AlternateContent>
        <mc:AlternateContent xmlns:mc="http://schemas.openxmlformats.org/markup-compatibility/2006">
          <mc:Choice Requires="x14">
            <control shapeId="1406" r:id="rId380" name="Check Box 382">
              <controlPr locked="0" defaultSize="0" autoFill="0" autoLine="0" autoPict="0">
                <anchor moveWithCells="1">
                  <from>
                    <xdr:col>7</xdr:col>
                    <xdr:colOff>88900</xdr:colOff>
                    <xdr:row>68</xdr:row>
                    <xdr:rowOff>63500</xdr:rowOff>
                  </from>
                  <to>
                    <xdr:col>7</xdr:col>
                    <xdr:colOff>285750</xdr:colOff>
                    <xdr:row>68</xdr:row>
                    <xdr:rowOff>279400</xdr:rowOff>
                  </to>
                </anchor>
              </controlPr>
            </control>
          </mc:Choice>
        </mc:AlternateContent>
        <mc:AlternateContent xmlns:mc="http://schemas.openxmlformats.org/markup-compatibility/2006">
          <mc:Choice Requires="x14">
            <control shapeId="1407" r:id="rId381" name="Check Box 383">
              <controlPr locked="0" defaultSize="0" autoFill="0" autoLine="0" autoPict="0">
                <anchor moveWithCells="1">
                  <from>
                    <xdr:col>8</xdr:col>
                    <xdr:colOff>88900</xdr:colOff>
                    <xdr:row>68</xdr:row>
                    <xdr:rowOff>63500</xdr:rowOff>
                  </from>
                  <to>
                    <xdr:col>8</xdr:col>
                    <xdr:colOff>285750</xdr:colOff>
                    <xdr:row>68</xdr:row>
                    <xdr:rowOff>279400</xdr:rowOff>
                  </to>
                </anchor>
              </controlPr>
            </control>
          </mc:Choice>
        </mc:AlternateContent>
        <mc:AlternateContent xmlns:mc="http://schemas.openxmlformats.org/markup-compatibility/2006">
          <mc:Choice Requires="x14">
            <control shapeId="1408" r:id="rId382" name="Check Box 384">
              <controlPr locked="0" defaultSize="0" autoFill="0" autoLine="0" autoPict="0">
                <anchor moveWithCells="1">
                  <from>
                    <xdr:col>2</xdr:col>
                    <xdr:colOff>88900</xdr:colOff>
                    <xdr:row>69</xdr:row>
                    <xdr:rowOff>63500</xdr:rowOff>
                  </from>
                  <to>
                    <xdr:col>2</xdr:col>
                    <xdr:colOff>285750</xdr:colOff>
                    <xdr:row>69</xdr:row>
                    <xdr:rowOff>279400</xdr:rowOff>
                  </to>
                </anchor>
              </controlPr>
            </control>
          </mc:Choice>
        </mc:AlternateContent>
        <mc:AlternateContent xmlns:mc="http://schemas.openxmlformats.org/markup-compatibility/2006">
          <mc:Choice Requires="x14">
            <control shapeId="1409" r:id="rId383" name="Check Box 385">
              <controlPr locked="0" defaultSize="0" autoFill="0" autoLine="0" autoPict="0">
                <anchor moveWithCells="1">
                  <from>
                    <xdr:col>3</xdr:col>
                    <xdr:colOff>88900</xdr:colOff>
                    <xdr:row>69</xdr:row>
                    <xdr:rowOff>63500</xdr:rowOff>
                  </from>
                  <to>
                    <xdr:col>3</xdr:col>
                    <xdr:colOff>285750</xdr:colOff>
                    <xdr:row>69</xdr:row>
                    <xdr:rowOff>279400</xdr:rowOff>
                  </to>
                </anchor>
              </controlPr>
            </control>
          </mc:Choice>
        </mc:AlternateContent>
        <mc:AlternateContent xmlns:mc="http://schemas.openxmlformats.org/markup-compatibility/2006">
          <mc:Choice Requires="x14">
            <control shapeId="1410" r:id="rId384" name="Check Box 386">
              <controlPr locked="0" defaultSize="0" autoFill="0" autoLine="0" autoPict="0">
                <anchor moveWithCells="1">
                  <from>
                    <xdr:col>4</xdr:col>
                    <xdr:colOff>88900</xdr:colOff>
                    <xdr:row>69</xdr:row>
                    <xdr:rowOff>63500</xdr:rowOff>
                  </from>
                  <to>
                    <xdr:col>4</xdr:col>
                    <xdr:colOff>285750</xdr:colOff>
                    <xdr:row>69</xdr:row>
                    <xdr:rowOff>279400</xdr:rowOff>
                  </to>
                </anchor>
              </controlPr>
            </control>
          </mc:Choice>
        </mc:AlternateContent>
        <mc:AlternateContent xmlns:mc="http://schemas.openxmlformats.org/markup-compatibility/2006">
          <mc:Choice Requires="x14">
            <control shapeId="1411" r:id="rId385" name="Check Box 387">
              <controlPr locked="0" defaultSize="0" autoFill="0" autoLine="0" autoPict="0">
                <anchor moveWithCells="1">
                  <from>
                    <xdr:col>5</xdr:col>
                    <xdr:colOff>88900</xdr:colOff>
                    <xdr:row>69</xdr:row>
                    <xdr:rowOff>63500</xdr:rowOff>
                  </from>
                  <to>
                    <xdr:col>5</xdr:col>
                    <xdr:colOff>285750</xdr:colOff>
                    <xdr:row>69</xdr:row>
                    <xdr:rowOff>279400</xdr:rowOff>
                  </to>
                </anchor>
              </controlPr>
            </control>
          </mc:Choice>
        </mc:AlternateContent>
        <mc:AlternateContent xmlns:mc="http://schemas.openxmlformats.org/markup-compatibility/2006">
          <mc:Choice Requires="x14">
            <control shapeId="1412" r:id="rId386" name="Check Box 388">
              <controlPr locked="0" defaultSize="0" autoFill="0" autoLine="0" autoPict="0">
                <anchor moveWithCells="1">
                  <from>
                    <xdr:col>6</xdr:col>
                    <xdr:colOff>88900</xdr:colOff>
                    <xdr:row>69</xdr:row>
                    <xdr:rowOff>63500</xdr:rowOff>
                  </from>
                  <to>
                    <xdr:col>6</xdr:col>
                    <xdr:colOff>285750</xdr:colOff>
                    <xdr:row>69</xdr:row>
                    <xdr:rowOff>279400</xdr:rowOff>
                  </to>
                </anchor>
              </controlPr>
            </control>
          </mc:Choice>
        </mc:AlternateContent>
        <mc:AlternateContent xmlns:mc="http://schemas.openxmlformats.org/markup-compatibility/2006">
          <mc:Choice Requires="x14">
            <control shapeId="1413" r:id="rId387" name="Check Box 389">
              <controlPr locked="0" defaultSize="0" autoFill="0" autoLine="0" autoPict="0">
                <anchor moveWithCells="1">
                  <from>
                    <xdr:col>7</xdr:col>
                    <xdr:colOff>88900</xdr:colOff>
                    <xdr:row>69</xdr:row>
                    <xdr:rowOff>63500</xdr:rowOff>
                  </from>
                  <to>
                    <xdr:col>7</xdr:col>
                    <xdr:colOff>285750</xdr:colOff>
                    <xdr:row>69</xdr:row>
                    <xdr:rowOff>279400</xdr:rowOff>
                  </to>
                </anchor>
              </controlPr>
            </control>
          </mc:Choice>
        </mc:AlternateContent>
        <mc:AlternateContent xmlns:mc="http://schemas.openxmlformats.org/markup-compatibility/2006">
          <mc:Choice Requires="x14">
            <control shapeId="1414" r:id="rId388" name="Check Box 390">
              <controlPr locked="0" defaultSize="0" autoFill="0" autoLine="0" autoPict="0">
                <anchor moveWithCells="1">
                  <from>
                    <xdr:col>8</xdr:col>
                    <xdr:colOff>88900</xdr:colOff>
                    <xdr:row>69</xdr:row>
                    <xdr:rowOff>63500</xdr:rowOff>
                  </from>
                  <to>
                    <xdr:col>8</xdr:col>
                    <xdr:colOff>285750</xdr:colOff>
                    <xdr:row>69</xdr:row>
                    <xdr:rowOff>279400</xdr:rowOff>
                  </to>
                </anchor>
              </controlPr>
            </control>
          </mc:Choice>
        </mc:AlternateContent>
        <mc:AlternateContent xmlns:mc="http://schemas.openxmlformats.org/markup-compatibility/2006">
          <mc:Choice Requires="x14">
            <control shapeId="1415" r:id="rId389" name="Check Box 391">
              <controlPr locked="0" defaultSize="0" autoFill="0" autoLine="0" autoPict="0">
                <anchor moveWithCells="1">
                  <from>
                    <xdr:col>2</xdr:col>
                    <xdr:colOff>88900</xdr:colOff>
                    <xdr:row>71</xdr:row>
                    <xdr:rowOff>63500</xdr:rowOff>
                  </from>
                  <to>
                    <xdr:col>2</xdr:col>
                    <xdr:colOff>285750</xdr:colOff>
                    <xdr:row>71</xdr:row>
                    <xdr:rowOff>279400</xdr:rowOff>
                  </to>
                </anchor>
              </controlPr>
            </control>
          </mc:Choice>
        </mc:AlternateContent>
        <mc:AlternateContent xmlns:mc="http://schemas.openxmlformats.org/markup-compatibility/2006">
          <mc:Choice Requires="x14">
            <control shapeId="1416" r:id="rId390" name="Check Box 392">
              <controlPr locked="0" defaultSize="0" autoFill="0" autoLine="0" autoPict="0">
                <anchor moveWithCells="1">
                  <from>
                    <xdr:col>3</xdr:col>
                    <xdr:colOff>88900</xdr:colOff>
                    <xdr:row>71</xdr:row>
                    <xdr:rowOff>63500</xdr:rowOff>
                  </from>
                  <to>
                    <xdr:col>3</xdr:col>
                    <xdr:colOff>285750</xdr:colOff>
                    <xdr:row>71</xdr:row>
                    <xdr:rowOff>279400</xdr:rowOff>
                  </to>
                </anchor>
              </controlPr>
            </control>
          </mc:Choice>
        </mc:AlternateContent>
        <mc:AlternateContent xmlns:mc="http://schemas.openxmlformats.org/markup-compatibility/2006">
          <mc:Choice Requires="x14">
            <control shapeId="1417" r:id="rId391" name="Check Box 393">
              <controlPr locked="0" defaultSize="0" autoFill="0" autoLine="0" autoPict="0">
                <anchor moveWithCells="1">
                  <from>
                    <xdr:col>4</xdr:col>
                    <xdr:colOff>88900</xdr:colOff>
                    <xdr:row>71</xdr:row>
                    <xdr:rowOff>63500</xdr:rowOff>
                  </from>
                  <to>
                    <xdr:col>4</xdr:col>
                    <xdr:colOff>285750</xdr:colOff>
                    <xdr:row>71</xdr:row>
                    <xdr:rowOff>279400</xdr:rowOff>
                  </to>
                </anchor>
              </controlPr>
            </control>
          </mc:Choice>
        </mc:AlternateContent>
        <mc:AlternateContent xmlns:mc="http://schemas.openxmlformats.org/markup-compatibility/2006">
          <mc:Choice Requires="x14">
            <control shapeId="1418" r:id="rId392" name="Check Box 394">
              <controlPr locked="0" defaultSize="0" autoFill="0" autoLine="0" autoPict="0">
                <anchor moveWithCells="1">
                  <from>
                    <xdr:col>5</xdr:col>
                    <xdr:colOff>88900</xdr:colOff>
                    <xdr:row>71</xdr:row>
                    <xdr:rowOff>63500</xdr:rowOff>
                  </from>
                  <to>
                    <xdr:col>5</xdr:col>
                    <xdr:colOff>285750</xdr:colOff>
                    <xdr:row>71</xdr:row>
                    <xdr:rowOff>279400</xdr:rowOff>
                  </to>
                </anchor>
              </controlPr>
            </control>
          </mc:Choice>
        </mc:AlternateContent>
        <mc:AlternateContent xmlns:mc="http://schemas.openxmlformats.org/markup-compatibility/2006">
          <mc:Choice Requires="x14">
            <control shapeId="1419" r:id="rId393" name="Check Box 395">
              <controlPr locked="0" defaultSize="0" autoFill="0" autoLine="0" autoPict="0">
                <anchor moveWithCells="1">
                  <from>
                    <xdr:col>6</xdr:col>
                    <xdr:colOff>88900</xdr:colOff>
                    <xdr:row>71</xdr:row>
                    <xdr:rowOff>63500</xdr:rowOff>
                  </from>
                  <to>
                    <xdr:col>6</xdr:col>
                    <xdr:colOff>285750</xdr:colOff>
                    <xdr:row>71</xdr:row>
                    <xdr:rowOff>279400</xdr:rowOff>
                  </to>
                </anchor>
              </controlPr>
            </control>
          </mc:Choice>
        </mc:AlternateContent>
        <mc:AlternateContent xmlns:mc="http://schemas.openxmlformats.org/markup-compatibility/2006">
          <mc:Choice Requires="x14">
            <control shapeId="1420" r:id="rId394" name="Check Box 396">
              <controlPr locked="0" defaultSize="0" autoFill="0" autoLine="0" autoPict="0">
                <anchor moveWithCells="1">
                  <from>
                    <xdr:col>7</xdr:col>
                    <xdr:colOff>88900</xdr:colOff>
                    <xdr:row>71</xdr:row>
                    <xdr:rowOff>63500</xdr:rowOff>
                  </from>
                  <to>
                    <xdr:col>7</xdr:col>
                    <xdr:colOff>285750</xdr:colOff>
                    <xdr:row>71</xdr:row>
                    <xdr:rowOff>279400</xdr:rowOff>
                  </to>
                </anchor>
              </controlPr>
            </control>
          </mc:Choice>
        </mc:AlternateContent>
        <mc:AlternateContent xmlns:mc="http://schemas.openxmlformats.org/markup-compatibility/2006">
          <mc:Choice Requires="x14">
            <control shapeId="1421" r:id="rId395" name="Check Box 397">
              <controlPr locked="0" defaultSize="0" autoFill="0" autoLine="0" autoPict="0">
                <anchor moveWithCells="1">
                  <from>
                    <xdr:col>8</xdr:col>
                    <xdr:colOff>88900</xdr:colOff>
                    <xdr:row>71</xdr:row>
                    <xdr:rowOff>63500</xdr:rowOff>
                  </from>
                  <to>
                    <xdr:col>8</xdr:col>
                    <xdr:colOff>285750</xdr:colOff>
                    <xdr:row>71</xdr:row>
                    <xdr:rowOff>279400</xdr:rowOff>
                  </to>
                </anchor>
              </controlPr>
            </control>
          </mc:Choice>
        </mc:AlternateContent>
        <mc:AlternateContent xmlns:mc="http://schemas.openxmlformats.org/markup-compatibility/2006">
          <mc:Choice Requires="x14">
            <control shapeId="1422" r:id="rId396" name="Check Box 398">
              <controlPr locked="0" defaultSize="0" autoFill="0" autoLine="0" autoPict="0">
                <anchor moveWithCells="1">
                  <from>
                    <xdr:col>2</xdr:col>
                    <xdr:colOff>88900</xdr:colOff>
                    <xdr:row>72</xdr:row>
                    <xdr:rowOff>63500</xdr:rowOff>
                  </from>
                  <to>
                    <xdr:col>2</xdr:col>
                    <xdr:colOff>285750</xdr:colOff>
                    <xdr:row>72</xdr:row>
                    <xdr:rowOff>279400</xdr:rowOff>
                  </to>
                </anchor>
              </controlPr>
            </control>
          </mc:Choice>
        </mc:AlternateContent>
        <mc:AlternateContent xmlns:mc="http://schemas.openxmlformats.org/markup-compatibility/2006">
          <mc:Choice Requires="x14">
            <control shapeId="1423" r:id="rId397" name="Check Box 399">
              <controlPr locked="0" defaultSize="0" autoFill="0" autoLine="0" autoPict="0">
                <anchor moveWithCells="1">
                  <from>
                    <xdr:col>3</xdr:col>
                    <xdr:colOff>88900</xdr:colOff>
                    <xdr:row>72</xdr:row>
                    <xdr:rowOff>63500</xdr:rowOff>
                  </from>
                  <to>
                    <xdr:col>3</xdr:col>
                    <xdr:colOff>285750</xdr:colOff>
                    <xdr:row>72</xdr:row>
                    <xdr:rowOff>279400</xdr:rowOff>
                  </to>
                </anchor>
              </controlPr>
            </control>
          </mc:Choice>
        </mc:AlternateContent>
        <mc:AlternateContent xmlns:mc="http://schemas.openxmlformats.org/markup-compatibility/2006">
          <mc:Choice Requires="x14">
            <control shapeId="1424" r:id="rId398" name="Check Box 400">
              <controlPr locked="0" defaultSize="0" autoFill="0" autoLine="0" autoPict="0">
                <anchor moveWithCells="1">
                  <from>
                    <xdr:col>4</xdr:col>
                    <xdr:colOff>88900</xdr:colOff>
                    <xdr:row>72</xdr:row>
                    <xdr:rowOff>63500</xdr:rowOff>
                  </from>
                  <to>
                    <xdr:col>4</xdr:col>
                    <xdr:colOff>285750</xdr:colOff>
                    <xdr:row>72</xdr:row>
                    <xdr:rowOff>279400</xdr:rowOff>
                  </to>
                </anchor>
              </controlPr>
            </control>
          </mc:Choice>
        </mc:AlternateContent>
        <mc:AlternateContent xmlns:mc="http://schemas.openxmlformats.org/markup-compatibility/2006">
          <mc:Choice Requires="x14">
            <control shapeId="1425" r:id="rId399" name="Check Box 401">
              <controlPr locked="0" defaultSize="0" autoFill="0" autoLine="0" autoPict="0">
                <anchor moveWithCells="1">
                  <from>
                    <xdr:col>5</xdr:col>
                    <xdr:colOff>88900</xdr:colOff>
                    <xdr:row>72</xdr:row>
                    <xdr:rowOff>63500</xdr:rowOff>
                  </from>
                  <to>
                    <xdr:col>5</xdr:col>
                    <xdr:colOff>285750</xdr:colOff>
                    <xdr:row>72</xdr:row>
                    <xdr:rowOff>279400</xdr:rowOff>
                  </to>
                </anchor>
              </controlPr>
            </control>
          </mc:Choice>
        </mc:AlternateContent>
        <mc:AlternateContent xmlns:mc="http://schemas.openxmlformats.org/markup-compatibility/2006">
          <mc:Choice Requires="x14">
            <control shapeId="1426" r:id="rId400" name="Check Box 402">
              <controlPr locked="0" defaultSize="0" autoFill="0" autoLine="0" autoPict="0">
                <anchor moveWithCells="1">
                  <from>
                    <xdr:col>6</xdr:col>
                    <xdr:colOff>88900</xdr:colOff>
                    <xdr:row>72</xdr:row>
                    <xdr:rowOff>63500</xdr:rowOff>
                  </from>
                  <to>
                    <xdr:col>6</xdr:col>
                    <xdr:colOff>285750</xdr:colOff>
                    <xdr:row>72</xdr:row>
                    <xdr:rowOff>279400</xdr:rowOff>
                  </to>
                </anchor>
              </controlPr>
            </control>
          </mc:Choice>
        </mc:AlternateContent>
        <mc:AlternateContent xmlns:mc="http://schemas.openxmlformats.org/markup-compatibility/2006">
          <mc:Choice Requires="x14">
            <control shapeId="1427" r:id="rId401" name="Check Box 403">
              <controlPr locked="0" defaultSize="0" autoFill="0" autoLine="0" autoPict="0">
                <anchor moveWithCells="1">
                  <from>
                    <xdr:col>7</xdr:col>
                    <xdr:colOff>88900</xdr:colOff>
                    <xdr:row>72</xdr:row>
                    <xdr:rowOff>63500</xdr:rowOff>
                  </from>
                  <to>
                    <xdr:col>7</xdr:col>
                    <xdr:colOff>285750</xdr:colOff>
                    <xdr:row>72</xdr:row>
                    <xdr:rowOff>279400</xdr:rowOff>
                  </to>
                </anchor>
              </controlPr>
            </control>
          </mc:Choice>
        </mc:AlternateContent>
        <mc:AlternateContent xmlns:mc="http://schemas.openxmlformats.org/markup-compatibility/2006">
          <mc:Choice Requires="x14">
            <control shapeId="1428" r:id="rId402" name="Check Box 404">
              <controlPr locked="0" defaultSize="0" autoFill="0" autoLine="0" autoPict="0">
                <anchor moveWithCells="1">
                  <from>
                    <xdr:col>8</xdr:col>
                    <xdr:colOff>88900</xdr:colOff>
                    <xdr:row>72</xdr:row>
                    <xdr:rowOff>63500</xdr:rowOff>
                  </from>
                  <to>
                    <xdr:col>8</xdr:col>
                    <xdr:colOff>285750</xdr:colOff>
                    <xdr:row>72</xdr:row>
                    <xdr:rowOff>279400</xdr:rowOff>
                  </to>
                </anchor>
              </controlPr>
            </control>
          </mc:Choice>
        </mc:AlternateContent>
        <mc:AlternateContent xmlns:mc="http://schemas.openxmlformats.org/markup-compatibility/2006">
          <mc:Choice Requires="x14">
            <control shapeId="1429" r:id="rId403" name="Check Box 405">
              <controlPr locked="0" defaultSize="0" autoFill="0" autoLine="0" autoPict="0">
                <anchor moveWithCells="1">
                  <from>
                    <xdr:col>2</xdr:col>
                    <xdr:colOff>88900</xdr:colOff>
                    <xdr:row>73</xdr:row>
                    <xdr:rowOff>63500</xdr:rowOff>
                  </from>
                  <to>
                    <xdr:col>2</xdr:col>
                    <xdr:colOff>285750</xdr:colOff>
                    <xdr:row>73</xdr:row>
                    <xdr:rowOff>279400</xdr:rowOff>
                  </to>
                </anchor>
              </controlPr>
            </control>
          </mc:Choice>
        </mc:AlternateContent>
        <mc:AlternateContent xmlns:mc="http://schemas.openxmlformats.org/markup-compatibility/2006">
          <mc:Choice Requires="x14">
            <control shapeId="1430" r:id="rId404" name="Check Box 406">
              <controlPr locked="0" defaultSize="0" autoFill="0" autoLine="0" autoPict="0">
                <anchor moveWithCells="1">
                  <from>
                    <xdr:col>3</xdr:col>
                    <xdr:colOff>88900</xdr:colOff>
                    <xdr:row>73</xdr:row>
                    <xdr:rowOff>63500</xdr:rowOff>
                  </from>
                  <to>
                    <xdr:col>3</xdr:col>
                    <xdr:colOff>285750</xdr:colOff>
                    <xdr:row>73</xdr:row>
                    <xdr:rowOff>279400</xdr:rowOff>
                  </to>
                </anchor>
              </controlPr>
            </control>
          </mc:Choice>
        </mc:AlternateContent>
        <mc:AlternateContent xmlns:mc="http://schemas.openxmlformats.org/markup-compatibility/2006">
          <mc:Choice Requires="x14">
            <control shapeId="1431" r:id="rId405" name="Check Box 407">
              <controlPr locked="0" defaultSize="0" autoFill="0" autoLine="0" autoPict="0">
                <anchor moveWithCells="1">
                  <from>
                    <xdr:col>4</xdr:col>
                    <xdr:colOff>88900</xdr:colOff>
                    <xdr:row>73</xdr:row>
                    <xdr:rowOff>63500</xdr:rowOff>
                  </from>
                  <to>
                    <xdr:col>4</xdr:col>
                    <xdr:colOff>285750</xdr:colOff>
                    <xdr:row>73</xdr:row>
                    <xdr:rowOff>279400</xdr:rowOff>
                  </to>
                </anchor>
              </controlPr>
            </control>
          </mc:Choice>
        </mc:AlternateContent>
        <mc:AlternateContent xmlns:mc="http://schemas.openxmlformats.org/markup-compatibility/2006">
          <mc:Choice Requires="x14">
            <control shapeId="1432" r:id="rId406" name="Check Box 408">
              <controlPr locked="0" defaultSize="0" autoFill="0" autoLine="0" autoPict="0">
                <anchor moveWithCells="1">
                  <from>
                    <xdr:col>5</xdr:col>
                    <xdr:colOff>88900</xdr:colOff>
                    <xdr:row>73</xdr:row>
                    <xdr:rowOff>63500</xdr:rowOff>
                  </from>
                  <to>
                    <xdr:col>5</xdr:col>
                    <xdr:colOff>285750</xdr:colOff>
                    <xdr:row>73</xdr:row>
                    <xdr:rowOff>279400</xdr:rowOff>
                  </to>
                </anchor>
              </controlPr>
            </control>
          </mc:Choice>
        </mc:AlternateContent>
        <mc:AlternateContent xmlns:mc="http://schemas.openxmlformats.org/markup-compatibility/2006">
          <mc:Choice Requires="x14">
            <control shapeId="1433" r:id="rId407" name="Check Box 409">
              <controlPr locked="0" defaultSize="0" autoFill="0" autoLine="0" autoPict="0">
                <anchor moveWithCells="1">
                  <from>
                    <xdr:col>6</xdr:col>
                    <xdr:colOff>88900</xdr:colOff>
                    <xdr:row>73</xdr:row>
                    <xdr:rowOff>63500</xdr:rowOff>
                  </from>
                  <to>
                    <xdr:col>6</xdr:col>
                    <xdr:colOff>285750</xdr:colOff>
                    <xdr:row>73</xdr:row>
                    <xdr:rowOff>279400</xdr:rowOff>
                  </to>
                </anchor>
              </controlPr>
            </control>
          </mc:Choice>
        </mc:AlternateContent>
        <mc:AlternateContent xmlns:mc="http://schemas.openxmlformats.org/markup-compatibility/2006">
          <mc:Choice Requires="x14">
            <control shapeId="1434" r:id="rId408" name="Check Box 410">
              <controlPr locked="0" defaultSize="0" autoFill="0" autoLine="0" autoPict="0">
                <anchor moveWithCells="1">
                  <from>
                    <xdr:col>7</xdr:col>
                    <xdr:colOff>88900</xdr:colOff>
                    <xdr:row>73</xdr:row>
                    <xdr:rowOff>63500</xdr:rowOff>
                  </from>
                  <to>
                    <xdr:col>7</xdr:col>
                    <xdr:colOff>285750</xdr:colOff>
                    <xdr:row>73</xdr:row>
                    <xdr:rowOff>279400</xdr:rowOff>
                  </to>
                </anchor>
              </controlPr>
            </control>
          </mc:Choice>
        </mc:AlternateContent>
        <mc:AlternateContent xmlns:mc="http://schemas.openxmlformats.org/markup-compatibility/2006">
          <mc:Choice Requires="x14">
            <control shapeId="1435" r:id="rId409" name="Check Box 411">
              <controlPr locked="0" defaultSize="0" autoFill="0" autoLine="0" autoPict="0">
                <anchor moveWithCells="1">
                  <from>
                    <xdr:col>8</xdr:col>
                    <xdr:colOff>88900</xdr:colOff>
                    <xdr:row>73</xdr:row>
                    <xdr:rowOff>63500</xdr:rowOff>
                  </from>
                  <to>
                    <xdr:col>8</xdr:col>
                    <xdr:colOff>285750</xdr:colOff>
                    <xdr:row>73</xdr:row>
                    <xdr:rowOff>279400</xdr:rowOff>
                  </to>
                </anchor>
              </controlPr>
            </control>
          </mc:Choice>
        </mc:AlternateContent>
        <mc:AlternateContent xmlns:mc="http://schemas.openxmlformats.org/markup-compatibility/2006">
          <mc:Choice Requires="x14">
            <control shapeId="1436" r:id="rId410" name="Check Box 412">
              <controlPr locked="0" defaultSize="0" autoFill="0" autoLine="0" autoPict="0">
                <anchor moveWithCells="1">
                  <from>
                    <xdr:col>2</xdr:col>
                    <xdr:colOff>88900</xdr:colOff>
                    <xdr:row>74</xdr:row>
                    <xdr:rowOff>63500</xdr:rowOff>
                  </from>
                  <to>
                    <xdr:col>2</xdr:col>
                    <xdr:colOff>285750</xdr:colOff>
                    <xdr:row>74</xdr:row>
                    <xdr:rowOff>279400</xdr:rowOff>
                  </to>
                </anchor>
              </controlPr>
            </control>
          </mc:Choice>
        </mc:AlternateContent>
        <mc:AlternateContent xmlns:mc="http://schemas.openxmlformats.org/markup-compatibility/2006">
          <mc:Choice Requires="x14">
            <control shapeId="1437" r:id="rId411" name="Check Box 413">
              <controlPr locked="0" defaultSize="0" autoFill="0" autoLine="0" autoPict="0">
                <anchor moveWithCells="1">
                  <from>
                    <xdr:col>3</xdr:col>
                    <xdr:colOff>88900</xdr:colOff>
                    <xdr:row>74</xdr:row>
                    <xdr:rowOff>63500</xdr:rowOff>
                  </from>
                  <to>
                    <xdr:col>3</xdr:col>
                    <xdr:colOff>285750</xdr:colOff>
                    <xdr:row>74</xdr:row>
                    <xdr:rowOff>279400</xdr:rowOff>
                  </to>
                </anchor>
              </controlPr>
            </control>
          </mc:Choice>
        </mc:AlternateContent>
        <mc:AlternateContent xmlns:mc="http://schemas.openxmlformats.org/markup-compatibility/2006">
          <mc:Choice Requires="x14">
            <control shapeId="1438" r:id="rId412" name="Check Box 414">
              <controlPr locked="0" defaultSize="0" autoFill="0" autoLine="0" autoPict="0">
                <anchor moveWithCells="1">
                  <from>
                    <xdr:col>4</xdr:col>
                    <xdr:colOff>88900</xdr:colOff>
                    <xdr:row>74</xdr:row>
                    <xdr:rowOff>63500</xdr:rowOff>
                  </from>
                  <to>
                    <xdr:col>4</xdr:col>
                    <xdr:colOff>285750</xdr:colOff>
                    <xdr:row>74</xdr:row>
                    <xdr:rowOff>279400</xdr:rowOff>
                  </to>
                </anchor>
              </controlPr>
            </control>
          </mc:Choice>
        </mc:AlternateContent>
        <mc:AlternateContent xmlns:mc="http://schemas.openxmlformats.org/markup-compatibility/2006">
          <mc:Choice Requires="x14">
            <control shapeId="1439" r:id="rId413" name="Check Box 415">
              <controlPr locked="0" defaultSize="0" autoFill="0" autoLine="0" autoPict="0">
                <anchor moveWithCells="1">
                  <from>
                    <xdr:col>5</xdr:col>
                    <xdr:colOff>88900</xdr:colOff>
                    <xdr:row>74</xdr:row>
                    <xdr:rowOff>63500</xdr:rowOff>
                  </from>
                  <to>
                    <xdr:col>5</xdr:col>
                    <xdr:colOff>285750</xdr:colOff>
                    <xdr:row>74</xdr:row>
                    <xdr:rowOff>279400</xdr:rowOff>
                  </to>
                </anchor>
              </controlPr>
            </control>
          </mc:Choice>
        </mc:AlternateContent>
        <mc:AlternateContent xmlns:mc="http://schemas.openxmlformats.org/markup-compatibility/2006">
          <mc:Choice Requires="x14">
            <control shapeId="1440" r:id="rId414" name="Check Box 416">
              <controlPr locked="0" defaultSize="0" autoFill="0" autoLine="0" autoPict="0">
                <anchor moveWithCells="1">
                  <from>
                    <xdr:col>6</xdr:col>
                    <xdr:colOff>88900</xdr:colOff>
                    <xdr:row>74</xdr:row>
                    <xdr:rowOff>63500</xdr:rowOff>
                  </from>
                  <to>
                    <xdr:col>6</xdr:col>
                    <xdr:colOff>285750</xdr:colOff>
                    <xdr:row>74</xdr:row>
                    <xdr:rowOff>279400</xdr:rowOff>
                  </to>
                </anchor>
              </controlPr>
            </control>
          </mc:Choice>
        </mc:AlternateContent>
        <mc:AlternateContent xmlns:mc="http://schemas.openxmlformats.org/markup-compatibility/2006">
          <mc:Choice Requires="x14">
            <control shapeId="1441" r:id="rId415" name="Check Box 417">
              <controlPr locked="0" defaultSize="0" autoFill="0" autoLine="0" autoPict="0">
                <anchor moveWithCells="1">
                  <from>
                    <xdr:col>7</xdr:col>
                    <xdr:colOff>88900</xdr:colOff>
                    <xdr:row>74</xdr:row>
                    <xdr:rowOff>63500</xdr:rowOff>
                  </from>
                  <to>
                    <xdr:col>7</xdr:col>
                    <xdr:colOff>285750</xdr:colOff>
                    <xdr:row>74</xdr:row>
                    <xdr:rowOff>279400</xdr:rowOff>
                  </to>
                </anchor>
              </controlPr>
            </control>
          </mc:Choice>
        </mc:AlternateContent>
        <mc:AlternateContent xmlns:mc="http://schemas.openxmlformats.org/markup-compatibility/2006">
          <mc:Choice Requires="x14">
            <control shapeId="1442" r:id="rId416" name="Check Box 418">
              <controlPr locked="0" defaultSize="0" autoFill="0" autoLine="0" autoPict="0">
                <anchor moveWithCells="1">
                  <from>
                    <xdr:col>8</xdr:col>
                    <xdr:colOff>88900</xdr:colOff>
                    <xdr:row>74</xdr:row>
                    <xdr:rowOff>63500</xdr:rowOff>
                  </from>
                  <to>
                    <xdr:col>8</xdr:col>
                    <xdr:colOff>285750</xdr:colOff>
                    <xdr:row>74</xdr:row>
                    <xdr:rowOff>279400</xdr:rowOff>
                  </to>
                </anchor>
              </controlPr>
            </control>
          </mc:Choice>
        </mc:AlternateContent>
        <mc:AlternateContent xmlns:mc="http://schemas.openxmlformats.org/markup-compatibility/2006">
          <mc:Choice Requires="x14">
            <control shapeId="1443" r:id="rId417" name="Check Box 419">
              <controlPr locked="0" defaultSize="0" autoFill="0" autoLine="0" autoPict="0">
                <anchor moveWithCells="1">
                  <from>
                    <xdr:col>2</xdr:col>
                    <xdr:colOff>88900</xdr:colOff>
                    <xdr:row>75</xdr:row>
                    <xdr:rowOff>63500</xdr:rowOff>
                  </from>
                  <to>
                    <xdr:col>2</xdr:col>
                    <xdr:colOff>285750</xdr:colOff>
                    <xdr:row>75</xdr:row>
                    <xdr:rowOff>279400</xdr:rowOff>
                  </to>
                </anchor>
              </controlPr>
            </control>
          </mc:Choice>
        </mc:AlternateContent>
        <mc:AlternateContent xmlns:mc="http://schemas.openxmlformats.org/markup-compatibility/2006">
          <mc:Choice Requires="x14">
            <control shapeId="1444" r:id="rId418" name="Check Box 420">
              <controlPr locked="0" defaultSize="0" autoFill="0" autoLine="0" autoPict="0">
                <anchor moveWithCells="1">
                  <from>
                    <xdr:col>3</xdr:col>
                    <xdr:colOff>88900</xdr:colOff>
                    <xdr:row>75</xdr:row>
                    <xdr:rowOff>63500</xdr:rowOff>
                  </from>
                  <to>
                    <xdr:col>3</xdr:col>
                    <xdr:colOff>285750</xdr:colOff>
                    <xdr:row>75</xdr:row>
                    <xdr:rowOff>279400</xdr:rowOff>
                  </to>
                </anchor>
              </controlPr>
            </control>
          </mc:Choice>
        </mc:AlternateContent>
        <mc:AlternateContent xmlns:mc="http://schemas.openxmlformats.org/markup-compatibility/2006">
          <mc:Choice Requires="x14">
            <control shapeId="1445" r:id="rId419" name="Check Box 421">
              <controlPr locked="0" defaultSize="0" autoFill="0" autoLine="0" autoPict="0">
                <anchor moveWithCells="1">
                  <from>
                    <xdr:col>4</xdr:col>
                    <xdr:colOff>88900</xdr:colOff>
                    <xdr:row>75</xdr:row>
                    <xdr:rowOff>63500</xdr:rowOff>
                  </from>
                  <to>
                    <xdr:col>4</xdr:col>
                    <xdr:colOff>285750</xdr:colOff>
                    <xdr:row>75</xdr:row>
                    <xdr:rowOff>279400</xdr:rowOff>
                  </to>
                </anchor>
              </controlPr>
            </control>
          </mc:Choice>
        </mc:AlternateContent>
        <mc:AlternateContent xmlns:mc="http://schemas.openxmlformats.org/markup-compatibility/2006">
          <mc:Choice Requires="x14">
            <control shapeId="1446" r:id="rId420" name="Check Box 422">
              <controlPr locked="0" defaultSize="0" autoFill="0" autoLine="0" autoPict="0">
                <anchor moveWithCells="1">
                  <from>
                    <xdr:col>5</xdr:col>
                    <xdr:colOff>88900</xdr:colOff>
                    <xdr:row>75</xdr:row>
                    <xdr:rowOff>63500</xdr:rowOff>
                  </from>
                  <to>
                    <xdr:col>5</xdr:col>
                    <xdr:colOff>285750</xdr:colOff>
                    <xdr:row>75</xdr:row>
                    <xdr:rowOff>279400</xdr:rowOff>
                  </to>
                </anchor>
              </controlPr>
            </control>
          </mc:Choice>
        </mc:AlternateContent>
        <mc:AlternateContent xmlns:mc="http://schemas.openxmlformats.org/markup-compatibility/2006">
          <mc:Choice Requires="x14">
            <control shapeId="1447" r:id="rId421" name="Check Box 423">
              <controlPr locked="0" defaultSize="0" autoFill="0" autoLine="0" autoPict="0">
                <anchor moveWithCells="1">
                  <from>
                    <xdr:col>6</xdr:col>
                    <xdr:colOff>88900</xdr:colOff>
                    <xdr:row>75</xdr:row>
                    <xdr:rowOff>63500</xdr:rowOff>
                  </from>
                  <to>
                    <xdr:col>6</xdr:col>
                    <xdr:colOff>285750</xdr:colOff>
                    <xdr:row>75</xdr:row>
                    <xdr:rowOff>279400</xdr:rowOff>
                  </to>
                </anchor>
              </controlPr>
            </control>
          </mc:Choice>
        </mc:AlternateContent>
        <mc:AlternateContent xmlns:mc="http://schemas.openxmlformats.org/markup-compatibility/2006">
          <mc:Choice Requires="x14">
            <control shapeId="1448" r:id="rId422" name="Check Box 424">
              <controlPr locked="0" defaultSize="0" autoFill="0" autoLine="0" autoPict="0">
                <anchor moveWithCells="1">
                  <from>
                    <xdr:col>7</xdr:col>
                    <xdr:colOff>88900</xdr:colOff>
                    <xdr:row>75</xdr:row>
                    <xdr:rowOff>63500</xdr:rowOff>
                  </from>
                  <to>
                    <xdr:col>7</xdr:col>
                    <xdr:colOff>285750</xdr:colOff>
                    <xdr:row>75</xdr:row>
                    <xdr:rowOff>279400</xdr:rowOff>
                  </to>
                </anchor>
              </controlPr>
            </control>
          </mc:Choice>
        </mc:AlternateContent>
        <mc:AlternateContent xmlns:mc="http://schemas.openxmlformats.org/markup-compatibility/2006">
          <mc:Choice Requires="x14">
            <control shapeId="1449" r:id="rId423" name="Check Box 425">
              <controlPr locked="0" defaultSize="0" autoFill="0" autoLine="0" autoPict="0">
                <anchor moveWithCells="1">
                  <from>
                    <xdr:col>8</xdr:col>
                    <xdr:colOff>88900</xdr:colOff>
                    <xdr:row>75</xdr:row>
                    <xdr:rowOff>63500</xdr:rowOff>
                  </from>
                  <to>
                    <xdr:col>8</xdr:col>
                    <xdr:colOff>285750</xdr:colOff>
                    <xdr:row>75</xdr:row>
                    <xdr:rowOff>279400</xdr:rowOff>
                  </to>
                </anchor>
              </controlPr>
            </control>
          </mc:Choice>
        </mc:AlternateContent>
        <mc:AlternateContent xmlns:mc="http://schemas.openxmlformats.org/markup-compatibility/2006">
          <mc:Choice Requires="x14">
            <control shapeId="1450" r:id="rId424" name="Check Box 426">
              <controlPr locked="0" defaultSize="0" autoFill="0" autoLine="0" autoPict="0">
                <anchor moveWithCells="1">
                  <from>
                    <xdr:col>2</xdr:col>
                    <xdr:colOff>88900</xdr:colOff>
                    <xdr:row>77</xdr:row>
                    <xdr:rowOff>63500</xdr:rowOff>
                  </from>
                  <to>
                    <xdr:col>2</xdr:col>
                    <xdr:colOff>285750</xdr:colOff>
                    <xdr:row>77</xdr:row>
                    <xdr:rowOff>279400</xdr:rowOff>
                  </to>
                </anchor>
              </controlPr>
            </control>
          </mc:Choice>
        </mc:AlternateContent>
        <mc:AlternateContent xmlns:mc="http://schemas.openxmlformats.org/markup-compatibility/2006">
          <mc:Choice Requires="x14">
            <control shapeId="1451" r:id="rId425" name="Check Box 427">
              <controlPr locked="0" defaultSize="0" autoFill="0" autoLine="0" autoPict="0">
                <anchor moveWithCells="1">
                  <from>
                    <xdr:col>3</xdr:col>
                    <xdr:colOff>88900</xdr:colOff>
                    <xdr:row>77</xdr:row>
                    <xdr:rowOff>63500</xdr:rowOff>
                  </from>
                  <to>
                    <xdr:col>3</xdr:col>
                    <xdr:colOff>285750</xdr:colOff>
                    <xdr:row>77</xdr:row>
                    <xdr:rowOff>279400</xdr:rowOff>
                  </to>
                </anchor>
              </controlPr>
            </control>
          </mc:Choice>
        </mc:AlternateContent>
        <mc:AlternateContent xmlns:mc="http://schemas.openxmlformats.org/markup-compatibility/2006">
          <mc:Choice Requires="x14">
            <control shapeId="1452" r:id="rId426" name="Check Box 428">
              <controlPr locked="0" defaultSize="0" autoFill="0" autoLine="0" autoPict="0">
                <anchor moveWithCells="1">
                  <from>
                    <xdr:col>4</xdr:col>
                    <xdr:colOff>88900</xdr:colOff>
                    <xdr:row>77</xdr:row>
                    <xdr:rowOff>63500</xdr:rowOff>
                  </from>
                  <to>
                    <xdr:col>4</xdr:col>
                    <xdr:colOff>285750</xdr:colOff>
                    <xdr:row>77</xdr:row>
                    <xdr:rowOff>279400</xdr:rowOff>
                  </to>
                </anchor>
              </controlPr>
            </control>
          </mc:Choice>
        </mc:AlternateContent>
        <mc:AlternateContent xmlns:mc="http://schemas.openxmlformats.org/markup-compatibility/2006">
          <mc:Choice Requires="x14">
            <control shapeId="1453" r:id="rId427" name="Check Box 429">
              <controlPr locked="0" defaultSize="0" autoFill="0" autoLine="0" autoPict="0">
                <anchor moveWithCells="1">
                  <from>
                    <xdr:col>5</xdr:col>
                    <xdr:colOff>88900</xdr:colOff>
                    <xdr:row>77</xdr:row>
                    <xdr:rowOff>63500</xdr:rowOff>
                  </from>
                  <to>
                    <xdr:col>5</xdr:col>
                    <xdr:colOff>285750</xdr:colOff>
                    <xdr:row>77</xdr:row>
                    <xdr:rowOff>279400</xdr:rowOff>
                  </to>
                </anchor>
              </controlPr>
            </control>
          </mc:Choice>
        </mc:AlternateContent>
        <mc:AlternateContent xmlns:mc="http://schemas.openxmlformats.org/markup-compatibility/2006">
          <mc:Choice Requires="x14">
            <control shapeId="1454" r:id="rId428" name="Check Box 430">
              <controlPr locked="0" defaultSize="0" autoFill="0" autoLine="0" autoPict="0">
                <anchor moveWithCells="1">
                  <from>
                    <xdr:col>6</xdr:col>
                    <xdr:colOff>88900</xdr:colOff>
                    <xdr:row>77</xdr:row>
                    <xdr:rowOff>63500</xdr:rowOff>
                  </from>
                  <to>
                    <xdr:col>6</xdr:col>
                    <xdr:colOff>285750</xdr:colOff>
                    <xdr:row>77</xdr:row>
                    <xdr:rowOff>279400</xdr:rowOff>
                  </to>
                </anchor>
              </controlPr>
            </control>
          </mc:Choice>
        </mc:AlternateContent>
        <mc:AlternateContent xmlns:mc="http://schemas.openxmlformats.org/markup-compatibility/2006">
          <mc:Choice Requires="x14">
            <control shapeId="1455" r:id="rId429" name="Check Box 431">
              <controlPr locked="0" defaultSize="0" autoFill="0" autoLine="0" autoPict="0">
                <anchor moveWithCells="1">
                  <from>
                    <xdr:col>7</xdr:col>
                    <xdr:colOff>88900</xdr:colOff>
                    <xdr:row>77</xdr:row>
                    <xdr:rowOff>63500</xdr:rowOff>
                  </from>
                  <to>
                    <xdr:col>7</xdr:col>
                    <xdr:colOff>285750</xdr:colOff>
                    <xdr:row>77</xdr:row>
                    <xdr:rowOff>279400</xdr:rowOff>
                  </to>
                </anchor>
              </controlPr>
            </control>
          </mc:Choice>
        </mc:AlternateContent>
        <mc:AlternateContent xmlns:mc="http://schemas.openxmlformats.org/markup-compatibility/2006">
          <mc:Choice Requires="x14">
            <control shapeId="1456" r:id="rId430" name="Check Box 432">
              <controlPr locked="0" defaultSize="0" autoFill="0" autoLine="0" autoPict="0">
                <anchor moveWithCells="1">
                  <from>
                    <xdr:col>8</xdr:col>
                    <xdr:colOff>88900</xdr:colOff>
                    <xdr:row>77</xdr:row>
                    <xdr:rowOff>63500</xdr:rowOff>
                  </from>
                  <to>
                    <xdr:col>8</xdr:col>
                    <xdr:colOff>285750</xdr:colOff>
                    <xdr:row>77</xdr:row>
                    <xdr:rowOff>279400</xdr:rowOff>
                  </to>
                </anchor>
              </controlPr>
            </control>
          </mc:Choice>
        </mc:AlternateContent>
        <mc:AlternateContent xmlns:mc="http://schemas.openxmlformats.org/markup-compatibility/2006">
          <mc:Choice Requires="x14">
            <control shapeId="1457" r:id="rId431" name="Check Box 433">
              <controlPr locked="0" defaultSize="0" autoFill="0" autoLine="0" autoPict="0">
                <anchor moveWithCells="1">
                  <from>
                    <xdr:col>2</xdr:col>
                    <xdr:colOff>88900</xdr:colOff>
                    <xdr:row>78</xdr:row>
                    <xdr:rowOff>63500</xdr:rowOff>
                  </from>
                  <to>
                    <xdr:col>2</xdr:col>
                    <xdr:colOff>285750</xdr:colOff>
                    <xdr:row>78</xdr:row>
                    <xdr:rowOff>279400</xdr:rowOff>
                  </to>
                </anchor>
              </controlPr>
            </control>
          </mc:Choice>
        </mc:AlternateContent>
        <mc:AlternateContent xmlns:mc="http://schemas.openxmlformats.org/markup-compatibility/2006">
          <mc:Choice Requires="x14">
            <control shapeId="1458" r:id="rId432" name="Check Box 434">
              <controlPr locked="0" defaultSize="0" autoFill="0" autoLine="0" autoPict="0">
                <anchor moveWithCells="1">
                  <from>
                    <xdr:col>3</xdr:col>
                    <xdr:colOff>88900</xdr:colOff>
                    <xdr:row>78</xdr:row>
                    <xdr:rowOff>63500</xdr:rowOff>
                  </from>
                  <to>
                    <xdr:col>3</xdr:col>
                    <xdr:colOff>285750</xdr:colOff>
                    <xdr:row>78</xdr:row>
                    <xdr:rowOff>279400</xdr:rowOff>
                  </to>
                </anchor>
              </controlPr>
            </control>
          </mc:Choice>
        </mc:AlternateContent>
        <mc:AlternateContent xmlns:mc="http://schemas.openxmlformats.org/markup-compatibility/2006">
          <mc:Choice Requires="x14">
            <control shapeId="1459" r:id="rId433" name="Check Box 435">
              <controlPr locked="0" defaultSize="0" autoFill="0" autoLine="0" autoPict="0">
                <anchor moveWithCells="1">
                  <from>
                    <xdr:col>4</xdr:col>
                    <xdr:colOff>88900</xdr:colOff>
                    <xdr:row>78</xdr:row>
                    <xdr:rowOff>63500</xdr:rowOff>
                  </from>
                  <to>
                    <xdr:col>4</xdr:col>
                    <xdr:colOff>285750</xdr:colOff>
                    <xdr:row>78</xdr:row>
                    <xdr:rowOff>279400</xdr:rowOff>
                  </to>
                </anchor>
              </controlPr>
            </control>
          </mc:Choice>
        </mc:AlternateContent>
        <mc:AlternateContent xmlns:mc="http://schemas.openxmlformats.org/markup-compatibility/2006">
          <mc:Choice Requires="x14">
            <control shapeId="1460" r:id="rId434" name="Check Box 436">
              <controlPr locked="0" defaultSize="0" autoFill="0" autoLine="0" autoPict="0">
                <anchor moveWithCells="1">
                  <from>
                    <xdr:col>5</xdr:col>
                    <xdr:colOff>88900</xdr:colOff>
                    <xdr:row>78</xdr:row>
                    <xdr:rowOff>63500</xdr:rowOff>
                  </from>
                  <to>
                    <xdr:col>5</xdr:col>
                    <xdr:colOff>285750</xdr:colOff>
                    <xdr:row>78</xdr:row>
                    <xdr:rowOff>279400</xdr:rowOff>
                  </to>
                </anchor>
              </controlPr>
            </control>
          </mc:Choice>
        </mc:AlternateContent>
        <mc:AlternateContent xmlns:mc="http://schemas.openxmlformats.org/markup-compatibility/2006">
          <mc:Choice Requires="x14">
            <control shapeId="1461" r:id="rId435" name="Check Box 437">
              <controlPr locked="0" defaultSize="0" autoFill="0" autoLine="0" autoPict="0">
                <anchor moveWithCells="1">
                  <from>
                    <xdr:col>6</xdr:col>
                    <xdr:colOff>88900</xdr:colOff>
                    <xdr:row>78</xdr:row>
                    <xdr:rowOff>63500</xdr:rowOff>
                  </from>
                  <to>
                    <xdr:col>6</xdr:col>
                    <xdr:colOff>285750</xdr:colOff>
                    <xdr:row>78</xdr:row>
                    <xdr:rowOff>279400</xdr:rowOff>
                  </to>
                </anchor>
              </controlPr>
            </control>
          </mc:Choice>
        </mc:AlternateContent>
        <mc:AlternateContent xmlns:mc="http://schemas.openxmlformats.org/markup-compatibility/2006">
          <mc:Choice Requires="x14">
            <control shapeId="1462" r:id="rId436" name="Check Box 438">
              <controlPr locked="0" defaultSize="0" autoFill="0" autoLine="0" autoPict="0">
                <anchor moveWithCells="1">
                  <from>
                    <xdr:col>7</xdr:col>
                    <xdr:colOff>88900</xdr:colOff>
                    <xdr:row>78</xdr:row>
                    <xdr:rowOff>63500</xdr:rowOff>
                  </from>
                  <to>
                    <xdr:col>7</xdr:col>
                    <xdr:colOff>285750</xdr:colOff>
                    <xdr:row>78</xdr:row>
                    <xdr:rowOff>279400</xdr:rowOff>
                  </to>
                </anchor>
              </controlPr>
            </control>
          </mc:Choice>
        </mc:AlternateContent>
        <mc:AlternateContent xmlns:mc="http://schemas.openxmlformats.org/markup-compatibility/2006">
          <mc:Choice Requires="x14">
            <control shapeId="1463" r:id="rId437" name="Check Box 439">
              <controlPr locked="0" defaultSize="0" autoFill="0" autoLine="0" autoPict="0">
                <anchor moveWithCells="1">
                  <from>
                    <xdr:col>8</xdr:col>
                    <xdr:colOff>88900</xdr:colOff>
                    <xdr:row>78</xdr:row>
                    <xdr:rowOff>63500</xdr:rowOff>
                  </from>
                  <to>
                    <xdr:col>8</xdr:col>
                    <xdr:colOff>285750</xdr:colOff>
                    <xdr:row>78</xdr:row>
                    <xdr:rowOff>279400</xdr:rowOff>
                  </to>
                </anchor>
              </controlPr>
            </control>
          </mc:Choice>
        </mc:AlternateContent>
        <mc:AlternateContent xmlns:mc="http://schemas.openxmlformats.org/markup-compatibility/2006">
          <mc:Choice Requires="x14">
            <control shapeId="1464" r:id="rId438" name="Check Box 440">
              <controlPr locked="0" defaultSize="0" autoFill="0" autoLine="0" autoPict="0">
                <anchor moveWithCells="1">
                  <from>
                    <xdr:col>2</xdr:col>
                    <xdr:colOff>88900</xdr:colOff>
                    <xdr:row>79</xdr:row>
                    <xdr:rowOff>63500</xdr:rowOff>
                  </from>
                  <to>
                    <xdr:col>2</xdr:col>
                    <xdr:colOff>285750</xdr:colOff>
                    <xdr:row>79</xdr:row>
                    <xdr:rowOff>279400</xdr:rowOff>
                  </to>
                </anchor>
              </controlPr>
            </control>
          </mc:Choice>
        </mc:AlternateContent>
        <mc:AlternateContent xmlns:mc="http://schemas.openxmlformats.org/markup-compatibility/2006">
          <mc:Choice Requires="x14">
            <control shapeId="1465" r:id="rId439" name="Check Box 441">
              <controlPr locked="0" defaultSize="0" autoFill="0" autoLine="0" autoPict="0">
                <anchor moveWithCells="1">
                  <from>
                    <xdr:col>3</xdr:col>
                    <xdr:colOff>88900</xdr:colOff>
                    <xdr:row>79</xdr:row>
                    <xdr:rowOff>63500</xdr:rowOff>
                  </from>
                  <to>
                    <xdr:col>3</xdr:col>
                    <xdr:colOff>285750</xdr:colOff>
                    <xdr:row>79</xdr:row>
                    <xdr:rowOff>279400</xdr:rowOff>
                  </to>
                </anchor>
              </controlPr>
            </control>
          </mc:Choice>
        </mc:AlternateContent>
        <mc:AlternateContent xmlns:mc="http://schemas.openxmlformats.org/markup-compatibility/2006">
          <mc:Choice Requires="x14">
            <control shapeId="1466" r:id="rId440" name="Check Box 442">
              <controlPr locked="0" defaultSize="0" autoFill="0" autoLine="0" autoPict="0">
                <anchor moveWithCells="1">
                  <from>
                    <xdr:col>4</xdr:col>
                    <xdr:colOff>88900</xdr:colOff>
                    <xdr:row>79</xdr:row>
                    <xdr:rowOff>63500</xdr:rowOff>
                  </from>
                  <to>
                    <xdr:col>4</xdr:col>
                    <xdr:colOff>285750</xdr:colOff>
                    <xdr:row>79</xdr:row>
                    <xdr:rowOff>279400</xdr:rowOff>
                  </to>
                </anchor>
              </controlPr>
            </control>
          </mc:Choice>
        </mc:AlternateContent>
        <mc:AlternateContent xmlns:mc="http://schemas.openxmlformats.org/markup-compatibility/2006">
          <mc:Choice Requires="x14">
            <control shapeId="1467" r:id="rId441" name="Check Box 443">
              <controlPr locked="0" defaultSize="0" autoFill="0" autoLine="0" autoPict="0">
                <anchor moveWithCells="1">
                  <from>
                    <xdr:col>5</xdr:col>
                    <xdr:colOff>88900</xdr:colOff>
                    <xdr:row>79</xdr:row>
                    <xdr:rowOff>63500</xdr:rowOff>
                  </from>
                  <to>
                    <xdr:col>5</xdr:col>
                    <xdr:colOff>285750</xdr:colOff>
                    <xdr:row>79</xdr:row>
                    <xdr:rowOff>279400</xdr:rowOff>
                  </to>
                </anchor>
              </controlPr>
            </control>
          </mc:Choice>
        </mc:AlternateContent>
        <mc:AlternateContent xmlns:mc="http://schemas.openxmlformats.org/markup-compatibility/2006">
          <mc:Choice Requires="x14">
            <control shapeId="1468" r:id="rId442" name="Check Box 444">
              <controlPr locked="0" defaultSize="0" autoFill="0" autoLine="0" autoPict="0">
                <anchor moveWithCells="1">
                  <from>
                    <xdr:col>6</xdr:col>
                    <xdr:colOff>88900</xdr:colOff>
                    <xdr:row>79</xdr:row>
                    <xdr:rowOff>63500</xdr:rowOff>
                  </from>
                  <to>
                    <xdr:col>6</xdr:col>
                    <xdr:colOff>285750</xdr:colOff>
                    <xdr:row>79</xdr:row>
                    <xdr:rowOff>279400</xdr:rowOff>
                  </to>
                </anchor>
              </controlPr>
            </control>
          </mc:Choice>
        </mc:AlternateContent>
        <mc:AlternateContent xmlns:mc="http://schemas.openxmlformats.org/markup-compatibility/2006">
          <mc:Choice Requires="x14">
            <control shapeId="1469" r:id="rId443" name="Check Box 445">
              <controlPr locked="0" defaultSize="0" autoFill="0" autoLine="0" autoPict="0">
                <anchor moveWithCells="1">
                  <from>
                    <xdr:col>7</xdr:col>
                    <xdr:colOff>88900</xdr:colOff>
                    <xdr:row>79</xdr:row>
                    <xdr:rowOff>63500</xdr:rowOff>
                  </from>
                  <to>
                    <xdr:col>7</xdr:col>
                    <xdr:colOff>285750</xdr:colOff>
                    <xdr:row>79</xdr:row>
                    <xdr:rowOff>279400</xdr:rowOff>
                  </to>
                </anchor>
              </controlPr>
            </control>
          </mc:Choice>
        </mc:AlternateContent>
        <mc:AlternateContent xmlns:mc="http://schemas.openxmlformats.org/markup-compatibility/2006">
          <mc:Choice Requires="x14">
            <control shapeId="1470" r:id="rId444" name="Check Box 446">
              <controlPr locked="0" defaultSize="0" autoFill="0" autoLine="0" autoPict="0">
                <anchor moveWithCells="1">
                  <from>
                    <xdr:col>8</xdr:col>
                    <xdr:colOff>88900</xdr:colOff>
                    <xdr:row>79</xdr:row>
                    <xdr:rowOff>63500</xdr:rowOff>
                  </from>
                  <to>
                    <xdr:col>8</xdr:col>
                    <xdr:colOff>285750</xdr:colOff>
                    <xdr:row>79</xdr:row>
                    <xdr:rowOff>279400</xdr:rowOff>
                  </to>
                </anchor>
              </controlPr>
            </control>
          </mc:Choice>
        </mc:AlternateContent>
        <mc:AlternateContent xmlns:mc="http://schemas.openxmlformats.org/markup-compatibility/2006">
          <mc:Choice Requires="x14">
            <control shapeId="1471" r:id="rId445" name="Check Box 447">
              <controlPr locked="0" defaultSize="0" autoFill="0" autoLine="0" autoPict="0">
                <anchor moveWithCells="1">
                  <from>
                    <xdr:col>2</xdr:col>
                    <xdr:colOff>88900</xdr:colOff>
                    <xdr:row>80</xdr:row>
                    <xdr:rowOff>63500</xdr:rowOff>
                  </from>
                  <to>
                    <xdr:col>2</xdr:col>
                    <xdr:colOff>285750</xdr:colOff>
                    <xdr:row>80</xdr:row>
                    <xdr:rowOff>279400</xdr:rowOff>
                  </to>
                </anchor>
              </controlPr>
            </control>
          </mc:Choice>
        </mc:AlternateContent>
        <mc:AlternateContent xmlns:mc="http://schemas.openxmlformats.org/markup-compatibility/2006">
          <mc:Choice Requires="x14">
            <control shapeId="1472" r:id="rId446" name="Check Box 448">
              <controlPr locked="0" defaultSize="0" autoFill="0" autoLine="0" autoPict="0">
                <anchor moveWithCells="1">
                  <from>
                    <xdr:col>3</xdr:col>
                    <xdr:colOff>88900</xdr:colOff>
                    <xdr:row>80</xdr:row>
                    <xdr:rowOff>63500</xdr:rowOff>
                  </from>
                  <to>
                    <xdr:col>3</xdr:col>
                    <xdr:colOff>285750</xdr:colOff>
                    <xdr:row>80</xdr:row>
                    <xdr:rowOff>279400</xdr:rowOff>
                  </to>
                </anchor>
              </controlPr>
            </control>
          </mc:Choice>
        </mc:AlternateContent>
        <mc:AlternateContent xmlns:mc="http://schemas.openxmlformats.org/markup-compatibility/2006">
          <mc:Choice Requires="x14">
            <control shapeId="1473" r:id="rId447" name="Check Box 449">
              <controlPr locked="0" defaultSize="0" autoFill="0" autoLine="0" autoPict="0">
                <anchor moveWithCells="1">
                  <from>
                    <xdr:col>4</xdr:col>
                    <xdr:colOff>88900</xdr:colOff>
                    <xdr:row>80</xdr:row>
                    <xdr:rowOff>63500</xdr:rowOff>
                  </from>
                  <to>
                    <xdr:col>4</xdr:col>
                    <xdr:colOff>285750</xdr:colOff>
                    <xdr:row>80</xdr:row>
                    <xdr:rowOff>279400</xdr:rowOff>
                  </to>
                </anchor>
              </controlPr>
            </control>
          </mc:Choice>
        </mc:AlternateContent>
        <mc:AlternateContent xmlns:mc="http://schemas.openxmlformats.org/markup-compatibility/2006">
          <mc:Choice Requires="x14">
            <control shapeId="1474" r:id="rId448" name="Check Box 450">
              <controlPr locked="0" defaultSize="0" autoFill="0" autoLine="0" autoPict="0">
                <anchor moveWithCells="1">
                  <from>
                    <xdr:col>5</xdr:col>
                    <xdr:colOff>88900</xdr:colOff>
                    <xdr:row>80</xdr:row>
                    <xdr:rowOff>63500</xdr:rowOff>
                  </from>
                  <to>
                    <xdr:col>5</xdr:col>
                    <xdr:colOff>285750</xdr:colOff>
                    <xdr:row>80</xdr:row>
                    <xdr:rowOff>279400</xdr:rowOff>
                  </to>
                </anchor>
              </controlPr>
            </control>
          </mc:Choice>
        </mc:AlternateContent>
        <mc:AlternateContent xmlns:mc="http://schemas.openxmlformats.org/markup-compatibility/2006">
          <mc:Choice Requires="x14">
            <control shapeId="1475" r:id="rId449" name="Check Box 451">
              <controlPr locked="0" defaultSize="0" autoFill="0" autoLine="0" autoPict="0">
                <anchor moveWithCells="1">
                  <from>
                    <xdr:col>6</xdr:col>
                    <xdr:colOff>88900</xdr:colOff>
                    <xdr:row>80</xdr:row>
                    <xdr:rowOff>63500</xdr:rowOff>
                  </from>
                  <to>
                    <xdr:col>6</xdr:col>
                    <xdr:colOff>285750</xdr:colOff>
                    <xdr:row>80</xdr:row>
                    <xdr:rowOff>279400</xdr:rowOff>
                  </to>
                </anchor>
              </controlPr>
            </control>
          </mc:Choice>
        </mc:AlternateContent>
        <mc:AlternateContent xmlns:mc="http://schemas.openxmlformats.org/markup-compatibility/2006">
          <mc:Choice Requires="x14">
            <control shapeId="1476" r:id="rId450" name="Check Box 452">
              <controlPr locked="0" defaultSize="0" autoFill="0" autoLine="0" autoPict="0">
                <anchor moveWithCells="1">
                  <from>
                    <xdr:col>7</xdr:col>
                    <xdr:colOff>88900</xdr:colOff>
                    <xdr:row>80</xdr:row>
                    <xdr:rowOff>63500</xdr:rowOff>
                  </from>
                  <to>
                    <xdr:col>7</xdr:col>
                    <xdr:colOff>285750</xdr:colOff>
                    <xdr:row>80</xdr:row>
                    <xdr:rowOff>279400</xdr:rowOff>
                  </to>
                </anchor>
              </controlPr>
            </control>
          </mc:Choice>
        </mc:AlternateContent>
        <mc:AlternateContent xmlns:mc="http://schemas.openxmlformats.org/markup-compatibility/2006">
          <mc:Choice Requires="x14">
            <control shapeId="1477" r:id="rId451" name="Check Box 453">
              <controlPr locked="0" defaultSize="0" autoFill="0" autoLine="0" autoPict="0">
                <anchor moveWithCells="1">
                  <from>
                    <xdr:col>8</xdr:col>
                    <xdr:colOff>88900</xdr:colOff>
                    <xdr:row>80</xdr:row>
                    <xdr:rowOff>63500</xdr:rowOff>
                  </from>
                  <to>
                    <xdr:col>8</xdr:col>
                    <xdr:colOff>285750</xdr:colOff>
                    <xdr:row>80</xdr:row>
                    <xdr:rowOff>279400</xdr:rowOff>
                  </to>
                </anchor>
              </controlPr>
            </control>
          </mc:Choice>
        </mc:AlternateContent>
        <mc:AlternateContent xmlns:mc="http://schemas.openxmlformats.org/markup-compatibility/2006">
          <mc:Choice Requires="x14">
            <control shapeId="1478" r:id="rId452" name="Check Box 454">
              <controlPr locked="0" defaultSize="0" autoFill="0" autoLine="0" autoPict="0">
                <anchor moveWithCells="1">
                  <from>
                    <xdr:col>2</xdr:col>
                    <xdr:colOff>88900</xdr:colOff>
                    <xdr:row>81</xdr:row>
                    <xdr:rowOff>63500</xdr:rowOff>
                  </from>
                  <to>
                    <xdr:col>2</xdr:col>
                    <xdr:colOff>285750</xdr:colOff>
                    <xdr:row>81</xdr:row>
                    <xdr:rowOff>279400</xdr:rowOff>
                  </to>
                </anchor>
              </controlPr>
            </control>
          </mc:Choice>
        </mc:AlternateContent>
        <mc:AlternateContent xmlns:mc="http://schemas.openxmlformats.org/markup-compatibility/2006">
          <mc:Choice Requires="x14">
            <control shapeId="1479" r:id="rId453" name="Check Box 455">
              <controlPr locked="0" defaultSize="0" autoFill="0" autoLine="0" autoPict="0">
                <anchor moveWithCells="1">
                  <from>
                    <xdr:col>3</xdr:col>
                    <xdr:colOff>88900</xdr:colOff>
                    <xdr:row>81</xdr:row>
                    <xdr:rowOff>63500</xdr:rowOff>
                  </from>
                  <to>
                    <xdr:col>3</xdr:col>
                    <xdr:colOff>285750</xdr:colOff>
                    <xdr:row>81</xdr:row>
                    <xdr:rowOff>279400</xdr:rowOff>
                  </to>
                </anchor>
              </controlPr>
            </control>
          </mc:Choice>
        </mc:AlternateContent>
        <mc:AlternateContent xmlns:mc="http://schemas.openxmlformats.org/markup-compatibility/2006">
          <mc:Choice Requires="x14">
            <control shapeId="1480" r:id="rId454" name="Check Box 456">
              <controlPr locked="0" defaultSize="0" autoFill="0" autoLine="0" autoPict="0">
                <anchor moveWithCells="1">
                  <from>
                    <xdr:col>4</xdr:col>
                    <xdr:colOff>88900</xdr:colOff>
                    <xdr:row>81</xdr:row>
                    <xdr:rowOff>63500</xdr:rowOff>
                  </from>
                  <to>
                    <xdr:col>4</xdr:col>
                    <xdr:colOff>285750</xdr:colOff>
                    <xdr:row>81</xdr:row>
                    <xdr:rowOff>279400</xdr:rowOff>
                  </to>
                </anchor>
              </controlPr>
            </control>
          </mc:Choice>
        </mc:AlternateContent>
        <mc:AlternateContent xmlns:mc="http://schemas.openxmlformats.org/markup-compatibility/2006">
          <mc:Choice Requires="x14">
            <control shapeId="1481" r:id="rId455" name="Check Box 457">
              <controlPr locked="0" defaultSize="0" autoFill="0" autoLine="0" autoPict="0">
                <anchor moveWithCells="1">
                  <from>
                    <xdr:col>5</xdr:col>
                    <xdr:colOff>88900</xdr:colOff>
                    <xdr:row>81</xdr:row>
                    <xdr:rowOff>63500</xdr:rowOff>
                  </from>
                  <to>
                    <xdr:col>5</xdr:col>
                    <xdr:colOff>285750</xdr:colOff>
                    <xdr:row>81</xdr:row>
                    <xdr:rowOff>279400</xdr:rowOff>
                  </to>
                </anchor>
              </controlPr>
            </control>
          </mc:Choice>
        </mc:AlternateContent>
        <mc:AlternateContent xmlns:mc="http://schemas.openxmlformats.org/markup-compatibility/2006">
          <mc:Choice Requires="x14">
            <control shapeId="1482" r:id="rId456" name="Check Box 458">
              <controlPr locked="0" defaultSize="0" autoFill="0" autoLine="0" autoPict="0">
                <anchor moveWithCells="1">
                  <from>
                    <xdr:col>6</xdr:col>
                    <xdr:colOff>88900</xdr:colOff>
                    <xdr:row>81</xdr:row>
                    <xdr:rowOff>63500</xdr:rowOff>
                  </from>
                  <to>
                    <xdr:col>6</xdr:col>
                    <xdr:colOff>285750</xdr:colOff>
                    <xdr:row>81</xdr:row>
                    <xdr:rowOff>279400</xdr:rowOff>
                  </to>
                </anchor>
              </controlPr>
            </control>
          </mc:Choice>
        </mc:AlternateContent>
        <mc:AlternateContent xmlns:mc="http://schemas.openxmlformats.org/markup-compatibility/2006">
          <mc:Choice Requires="x14">
            <control shapeId="1483" r:id="rId457" name="Check Box 459">
              <controlPr locked="0" defaultSize="0" autoFill="0" autoLine="0" autoPict="0">
                <anchor moveWithCells="1">
                  <from>
                    <xdr:col>7</xdr:col>
                    <xdr:colOff>88900</xdr:colOff>
                    <xdr:row>81</xdr:row>
                    <xdr:rowOff>63500</xdr:rowOff>
                  </from>
                  <to>
                    <xdr:col>7</xdr:col>
                    <xdr:colOff>285750</xdr:colOff>
                    <xdr:row>81</xdr:row>
                    <xdr:rowOff>279400</xdr:rowOff>
                  </to>
                </anchor>
              </controlPr>
            </control>
          </mc:Choice>
        </mc:AlternateContent>
        <mc:AlternateContent xmlns:mc="http://schemas.openxmlformats.org/markup-compatibility/2006">
          <mc:Choice Requires="x14">
            <control shapeId="1484" r:id="rId458" name="Check Box 460">
              <controlPr locked="0" defaultSize="0" autoFill="0" autoLine="0" autoPict="0">
                <anchor moveWithCells="1">
                  <from>
                    <xdr:col>8</xdr:col>
                    <xdr:colOff>88900</xdr:colOff>
                    <xdr:row>81</xdr:row>
                    <xdr:rowOff>63500</xdr:rowOff>
                  </from>
                  <to>
                    <xdr:col>8</xdr:col>
                    <xdr:colOff>285750</xdr:colOff>
                    <xdr:row>81</xdr:row>
                    <xdr:rowOff>279400</xdr:rowOff>
                  </to>
                </anchor>
              </controlPr>
            </control>
          </mc:Choice>
        </mc:AlternateContent>
        <mc:AlternateContent xmlns:mc="http://schemas.openxmlformats.org/markup-compatibility/2006">
          <mc:Choice Requires="x14">
            <control shapeId="1485" r:id="rId459" name="Check Box 461">
              <controlPr locked="0" defaultSize="0" autoFill="0" autoLine="0" autoPict="0">
                <anchor moveWithCells="1">
                  <from>
                    <xdr:col>2</xdr:col>
                    <xdr:colOff>88900</xdr:colOff>
                    <xdr:row>83</xdr:row>
                    <xdr:rowOff>63500</xdr:rowOff>
                  </from>
                  <to>
                    <xdr:col>2</xdr:col>
                    <xdr:colOff>285750</xdr:colOff>
                    <xdr:row>83</xdr:row>
                    <xdr:rowOff>279400</xdr:rowOff>
                  </to>
                </anchor>
              </controlPr>
            </control>
          </mc:Choice>
        </mc:AlternateContent>
        <mc:AlternateContent xmlns:mc="http://schemas.openxmlformats.org/markup-compatibility/2006">
          <mc:Choice Requires="x14">
            <control shapeId="1486" r:id="rId460" name="Check Box 462">
              <controlPr locked="0" defaultSize="0" autoFill="0" autoLine="0" autoPict="0">
                <anchor moveWithCells="1">
                  <from>
                    <xdr:col>3</xdr:col>
                    <xdr:colOff>88900</xdr:colOff>
                    <xdr:row>83</xdr:row>
                    <xdr:rowOff>63500</xdr:rowOff>
                  </from>
                  <to>
                    <xdr:col>3</xdr:col>
                    <xdr:colOff>285750</xdr:colOff>
                    <xdr:row>83</xdr:row>
                    <xdr:rowOff>279400</xdr:rowOff>
                  </to>
                </anchor>
              </controlPr>
            </control>
          </mc:Choice>
        </mc:AlternateContent>
        <mc:AlternateContent xmlns:mc="http://schemas.openxmlformats.org/markup-compatibility/2006">
          <mc:Choice Requires="x14">
            <control shapeId="1487" r:id="rId461" name="Check Box 463">
              <controlPr locked="0" defaultSize="0" autoFill="0" autoLine="0" autoPict="0">
                <anchor moveWithCells="1">
                  <from>
                    <xdr:col>4</xdr:col>
                    <xdr:colOff>88900</xdr:colOff>
                    <xdr:row>83</xdr:row>
                    <xdr:rowOff>63500</xdr:rowOff>
                  </from>
                  <to>
                    <xdr:col>4</xdr:col>
                    <xdr:colOff>285750</xdr:colOff>
                    <xdr:row>83</xdr:row>
                    <xdr:rowOff>279400</xdr:rowOff>
                  </to>
                </anchor>
              </controlPr>
            </control>
          </mc:Choice>
        </mc:AlternateContent>
        <mc:AlternateContent xmlns:mc="http://schemas.openxmlformats.org/markup-compatibility/2006">
          <mc:Choice Requires="x14">
            <control shapeId="1488" r:id="rId462" name="Check Box 464">
              <controlPr locked="0" defaultSize="0" autoFill="0" autoLine="0" autoPict="0">
                <anchor moveWithCells="1">
                  <from>
                    <xdr:col>5</xdr:col>
                    <xdr:colOff>88900</xdr:colOff>
                    <xdr:row>83</xdr:row>
                    <xdr:rowOff>63500</xdr:rowOff>
                  </from>
                  <to>
                    <xdr:col>5</xdr:col>
                    <xdr:colOff>285750</xdr:colOff>
                    <xdr:row>83</xdr:row>
                    <xdr:rowOff>279400</xdr:rowOff>
                  </to>
                </anchor>
              </controlPr>
            </control>
          </mc:Choice>
        </mc:AlternateContent>
        <mc:AlternateContent xmlns:mc="http://schemas.openxmlformats.org/markup-compatibility/2006">
          <mc:Choice Requires="x14">
            <control shapeId="1489" r:id="rId463" name="Check Box 465">
              <controlPr locked="0" defaultSize="0" autoFill="0" autoLine="0" autoPict="0">
                <anchor moveWithCells="1">
                  <from>
                    <xdr:col>6</xdr:col>
                    <xdr:colOff>88900</xdr:colOff>
                    <xdr:row>83</xdr:row>
                    <xdr:rowOff>63500</xdr:rowOff>
                  </from>
                  <to>
                    <xdr:col>6</xdr:col>
                    <xdr:colOff>285750</xdr:colOff>
                    <xdr:row>83</xdr:row>
                    <xdr:rowOff>279400</xdr:rowOff>
                  </to>
                </anchor>
              </controlPr>
            </control>
          </mc:Choice>
        </mc:AlternateContent>
        <mc:AlternateContent xmlns:mc="http://schemas.openxmlformats.org/markup-compatibility/2006">
          <mc:Choice Requires="x14">
            <control shapeId="1490" r:id="rId464" name="Check Box 466">
              <controlPr locked="0" defaultSize="0" autoFill="0" autoLine="0" autoPict="0">
                <anchor moveWithCells="1">
                  <from>
                    <xdr:col>7</xdr:col>
                    <xdr:colOff>88900</xdr:colOff>
                    <xdr:row>83</xdr:row>
                    <xdr:rowOff>63500</xdr:rowOff>
                  </from>
                  <to>
                    <xdr:col>7</xdr:col>
                    <xdr:colOff>285750</xdr:colOff>
                    <xdr:row>83</xdr:row>
                    <xdr:rowOff>279400</xdr:rowOff>
                  </to>
                </anchor>
              </controlPr>
            </control>
          </mc:Choice>
        </mc:AlternateContent>
        <mc:AlternateContent xmlns:mc="http://schemas.openxmlformats.org/markup-compatibility/2006">
          <mc:Choice Requires="x14">
            <control shapeId="1491" r:id="rId465" name="Check Box 467">
              <controlPr locked="0" defaultSize="0" autoFill="0" autoLine="0" autoPict="0">
                <anchor moveWithCells="1">
                  <from>
                    <xdr:col>8</xdr:col>
                    <xdr:colOff>88900</xdr:colOff>
                    <xdr:row>83</xdr:row>
                    <xdr:rowOff>63500</xdr:rowOff>
                  </from>
                  <to>
                    <xdr:col>8</xdr:col>
                    <xdr:colOff>285750</xdr:colOff>
                    <xdr:row>83</xdr:row>
                    <xdr:rowOff>279400</xdr:rowOff>
                  </to>
                </anchor>
              </controlPr>
            </control>
          </mc:Choice>
        </mc:AlternateContent>
        <mc:AlternateContent xmlns:mc="http://schemas.openxmlformats.org/markup-compatibility/2006">
          <mc:Choice Requires="x14">
            <control shapeId="1492" r:id="rId466" name="Check Box 468">
              <controlPr locked="0" defaultSize="0" autoFill="0" autoLine="0" autoPict="0">
                <anchor moveWithCells="1">
                  <from>
                    <xdr:col>2</xdr:col>
                    <xdr:colOff>88900</xdr:colOff>
                    <xdr:row>84</xdr:row>
                    <xdr:rowOff>63500</xdr:rowOff>
                  </from>
                  <to>
                    <xdr:col>2</xdr:col>
                    <xdr:colOff>285750</xdr:colOff>
                    <xdr:row>84</xdr:row>
                    <xdr:rowOff>279400</xdr:rowOff>
                  </to>
                </anchor>
              </controlPr>
            </control>
          </mc:Choice>
        </mc:AlternateContent>
        <mc:AlternateContent xmlns:mc="http://schemas.openxmlformats.org/markup-compatibility/2006">
          <mc:Choice Requires="x14">
            <control shapeId="1493" r:id="rId467" name="Check Box 469">
              <controlPr locked="0" defaultSize="0" autoFill="0" autoLine="0" autoPict="0">
                <anchor moveWithCells="1">
                  <from>
                    <xdr:col>3</xdr:col>
                    <xdr:colOff>88900</xdr:colOff>
                    <xdr:row>84</xdr:row>
                    <xdr:rowOff>63500</xdr:rowOff>
                  </from>
                  <to>
                    <xdr:col>3</xdr:col>
                    <xdr:colOff>285750</xdr:colOff>
                    <xdr:row>84</xdr:row>
                    <xdr:rowOff>279400</xdr:rowOff>
                  </to>
                </anchor>
              </controlPr>
            </control>
          </mc:Choice>
        </mc:AlternateContent>
        <mc:AlternateContent xmlns:mc="http://schemas.openxmlformats.org/markup-compatibility/2006">
          <mc:Choice Requires="x14">
            <control shapeId="1494" r:id="rId468" name="Check Box 470">
              <controlPr locked="0" defaultSize="0" autoFill="0" autoLine="0" autoPict="0">
                <anchor moveWithCells="1">
                  <from>
                    <xdr:col>4</xdr:col>
                    <xdr:colOff>88900</xdr:colOff>
                    <xdr:row>84</xdr:row>
                    <xdr:rowOff>63500</xdr:rowOff>
                  </from>
                  <to>
                    <xdr:col>4</xdr:col>
                    <xdr:colOff>285750</xdr:colOff>
                    <xdr:row>84</xdr:row>
                    <xdr:rowOff>279400</xdr:rowOff>
                  </to>
                </anchor>
              </controlPr>
            </control>
          </mc:Choice>
        </mc:AlternateContent>
        <mc:AlternateContent xmlns:mc="http://schemas.openxmlformats.org/markup-compatibility/2006">
          <mc:Choice Requires="x14">
            <control shapeId="1495" r:id="rId469" name="Check Box 471">
              <controlPr locked="0" defaultSize="0" autoFill="0" autoLine="0" autoPict="0">
                <anchor moveWithCells="1">
                  <from>
                    <xdr:col>5</xdr:col>
                    <xdr:colOff>88900</xdr:colOff>
                    <xdr:row>84</xdr:row>
                    <xdr:rowOff>63500</xdr:rowOff>
                  </from>
                  <to>
                    <xdr:col>5</xdr:col>
                    <xdr:colOff>285750</xdr:colOff>
                    <xdr:row>84</xdr:row>
                    <xdr:rowOff>279400</xdr:rowOff>
                  </to>
                </anchor>
              </controlPr>
            </control>
          </mc:Choice>
        </mc:AlternateContent>
        <mc:AlternateContent xmlns:mc="http://schemas.openxmlformats.org/markup-compatibility/2006">
          <mc:Choice Requires="x14">
            <control shapeId="1496" r:id="rId470" name="Check Box 472">
              <controlPr locked="0" defaultSize="0" autoFill="0" autoLine="0" autoPict="0">
                <anchor moveWithCells="1">
                  <from>
                    <xdr:col>6</xdr:col>
                    <xdr:colOff>88900</xdr:colOff>
                    <xdr:row>84</xdr:row>
                    <xdr:rowOff>63500</xdr:rowOff>
                  </from>
                  <to>
                    <xdr:col>6</xdr:col>
                    <xdr:colOff>285750</xdr:colOff>
                    <xdr:row>84</xdr:row>
                    <xdr:rowOff>279400</xdr:rowOff>
                  </to>
                </anchor>
              </controlPr>
            </control>
          </mc:Choice>
        </mc:AlternateContent>
        <mc:AlternateContent xmlns:mc="http://schemas.openxmlformats.org/markup-compatibility/2006">
          <mc:Choice Requires="x14">
            <control shapeId="1497" r:id="rId471" name="Check Box 473">
              <controlPr locked="0" defaultSize="0" autoFill="0" autoLine="0" autoPict="0">
                <anchor moveWithCells="1">
                  <from>
                    <xdr:col>7</xdr:col>
                    <xdr:colOff>88900</xdr:colOff>
                    <xdr:row>84</xdr:row>
                    <xdr:rowOff>63500</xdr:rowOff>
                  </from>
                  <to>
                    <xdr:col>7</xdr:col>
                    <xdr:colOff>285750</xdr:colOff>
                    <xdr:row>84</xdr:row>
                    <xdr:rowOff>279400</xdr:rowOff>
                  </to>
                </anchor>
              </controlPr>
            </control>
          </mc:Choice>
        </mc:AlternateContent>
        <mc:AlternateContent xmlns:mc="http://schemas.openxmlformats.org/markup-compatibility/2006">
          <mc:Choice Requires="x14">
            <control shapeId="1498" r:id="rId472" name="Check Box 474">
              <controlPr locked="0" defaultSize="0" autoFill="0" autoLine="0" autoPict="0">
                <anchor moveWithCells="1">
                  <from>
                    <xdr:col>8</xdr:col>
                    <xdr:colOff>88900</xdr:colOff>
                    <xdr:row>84</xdr:row>
                    <xdr:rowOff>63500</xdr:rowOff>
                  </from>
                  <to>
                    <xdr:col>8</xdr:col>
                    <xdr:colOff>285750</xdr:colOff>
                    <xdr:row>84</xdr:row>
                    <xdr:rowOff>279400</xdr:rowOff>
                  </to>
                </anchor>
              </controlPr>
            </control>
          </mc:Choice>
        </mc:AlternateContent>
        <mc:AlternateContent xmlns:mc="http://schemas.openxmlformats.org/markup-compatibility/2006">
          <mc:Choice Requires="x14">
            <control shapeId="1499" r:id="rId473" name="Check Box 475">
              <controlPr locked="0" defaultSize="0" autoFill="0" autoLine="0" autoPict="0">
                <anchor moveWithCells="1">
                  <from>
                    <xdr:col>2</xdr:col>
                    <xdr:colOff>88900</xdr:colOff>
                    <xdr:row>85</xdr:row>
                    <xdr:rowOff>63500</xdr:rowOff>
                  </from>
                  <to>
                    <xdr:col>2</xdr:col>
                    <xdr:colOff>285750</xdr:colOff>
                    <xdr:row>85</xdr:row>
                    <xdr:rowOff>279400</xdr:rowOff>
                  </to>
                </anchor>
              </controlPr>
            </control>
          </mc:Choice>
        </mc:AlternateContent>
        <mc:AlternateContent xmlns:mc="http://schemas.openxmlformats.org/markup-compatibility/2006">
          <mc:Choice Requires="x14">
            <control shapeId="1500" r:id="rId474" name="Check Box 476">
              <controlPr locked="0" defaultSize="0" autoFill="0" autoLine="0" autoPict="0">
                <anchor moveWithCells="1">
                  <from>
                    <xdr:col>3</xdr:col>
                    <xdr:colOff>88900</xdr:colOff>
                    <xdr:row>85</xdr:row>
                    <xdr:rowOff>63500</xdr:rowOff>
                  </from>
                  <to>
                    <xdr:col>3</xdr:col>
                    <xdr:colOff>285750</xdr:colOff>
                    <xdr:row>85</xdr:row>
                    <xdr:rowOff>279400</xdr:rowOff>
                  </to>
                </anchor>
              </controlPr>
            </control>
          </mc:Choice>
        </mc:AlternateContent>
        <mc:AlternateContent xmlns:mc="http://schemas.openxmlformats.org/markup-compatibility/2006">
          <mc:Choice Requires="x14">
            <control shapeId="1501" r:id="rId475" name="Check Box 477">
              <controlPr locked="0" defaultSize="0" autoFill="0" autoLine="0" autoPict="0">
                <anchor moveWithCells="1">
                  <from>
                    <xdr:col>4</xdr:col>
                    <xdr:colOff>88900</xdr:colOff>
                    <xdr:row>85</xdr:row>
                    <xdr:rowOff>63500</xdr:rowOff>
                  </from>
                  <to>
                    <xdr:col>4</xdr:col>
                    <xdr:colOff>285750</xdr:colOff>
                    <xdr:row>85</xdr:row>
                    <xdr:rowOff>279400</xdr:rowOff>
                  </to>
                </anchor>
              </controlPr>
            </control>
          </mc:Choice>
        </mc:AlternateContent>
        <mc:AlternateContent xmlns:mc="http://schemas.openxmlformats.org/markup-compatibility/2006">
          <mc:Choice Requires="x14">
            <control shapeId="1502" r:id="rId476" name="Check Box 478">
              <controlPr locked="0" defaultSize="0" autoFill="0" autoLine="0" autoPict="0">
                <anchor moveWithCells="1">
                  <from>
                    <xdr:col>5</xdr:col>
                    <xdr:colOff>88900</xdr:colOff>
                    <xdr:row>85</xdr:row>
                    <xdr:rowOff>63500</xdr:rowOff>
                  </from>
                  <to>
                    <xdr:col>5</xdr:col>
                    <xdr:colOff>285750</xdr:colOff>
                    <xdr:row>85</xdr:row>
                    <xdr:rowOff>279400</xdr:rowOff>
                  </to>
                </anchor>
              </controlPr>
            </control>
          </mc:Choice>
        </mc:AlternateContent>
        <mc:AlternateContent xmlns:mc="http://schemas.openxmlformats.org/markup-compatibility/2006">
          <mc:Choice Requires="x14">
            <control shapeId="1503" r:id="rId477" name="Check Box 479">
              <controlPr locked="0" defaultSize="0" autoFill="0" autoLine="0" autoPict="0">
                <anchor moveWithCells="1">
                  <from>
                    <xdr:col>6</xdr:col>
                    <xdr:colOff>88900</xdr:colOff>
                    <xdr:row>85</xdr:row>
                    <xdr:rowOff>63500</xdr:rowOff>
                  </from>
                  <to>
                    <xdr:col>6</xdr:col>
                    <xdr:colOff>285750</xdr:colOff>
                    <xdr:row>85</xdr:row>
                    <xdr:rowOff>279400</xdr:rowOff>
                  </to>
                </anchor>
              </controlPr>
            </control>
          </mc:Choice>
        </mc:AlternateContent>
        <mc:AlternateContent xmlns:mc="http://schemas.openxmlformats.org/markup-compatibility/2006">
          <mc:Choice Requires="x14">
            <control shapeId="1504" r:id="rId478" name="Check Box 480">
              <controlPr locked="0" defaultSize="0" autoFill="0" autoLine="0" autoPict="0">
                <anchor moveWithCells="1">
                  <from>
                    <xdr:col>7</xdr:col>
                    <xdr:colOff>88900</xdr:colOff>
                    <xdr:row>85</xdr:row>
                    <xdr:rowOff>63500</xdr:rowOff>
                  </from>
                  <to>
                    <xdr:col>7</xdr:col>
                    <xdr:colOff>285750</xdr:colOff>
                    <xdr:row>85</xdr:row>
                    <xdr:rowOff>279400</xdr:rowOff>
                  </to>
                </anchor>
              </controlPr>
            </control>
          </mc:Choice>
        </mc:AlternateContent>
        <mc:AlternateContent xmlns:mc="http://schemas.openxmlformats.org/markup-compatibility/2006">
          <mc:Choice Requires="x14">
            <control shapeId="1505" r:id="rId479" name="Check Box 481">
              <controlPr locked="0" defaultSize="0" autoFill="0" autoLine="0" autoPict="0">
                <anchor moveWithCells="1">
                  <from>
                    <xdr:col>8</xdr:col>
                    <xdr:colOff>88900</xdr:colOff>
                    <xdr:row>85</xdr:row>
                    <xdr:rowOff>63500</xdr:rowOff>
                  </from>
                  <to>
                    <xdr:col>8</xdr:col>
                    <xdr:colOff>285750</xdr:colOff>
                    <xdr:row>85</xdr:row>
                    <xdr:rowOff>279400</xdr:rowOff>
                  </to>
                </anchor>
              </controlPr>
            </control>
          </mc:Choice>
        </mc:AlternateContent>
        <mc:AlternateContent xmlns:mc="http://schemas.openxmlformats.org/markup-compatibility/2006">
          <mc:Choice Requires="x14">
            <control shapeId="1506" r:id="rId480" name="Check Box 482">
              <controlPr locked="0" defaultSize="0" autoFill="0" autoLine="0" autoPict="0">
                <anchor moveWithCells="1">
                  <from>
                    <xdr:col>2</xdr:col>
                    <xdr:colOff>88900</xdr:colOff>
                    <xdr:row>86</xdr:row>
                    <xdr:rowOff>63500</xdr:rowOff>
                  </from>
                  <to>
                    <xdr:col>2</xdr:col>
                    <xdr:colOff>285750</xdr:colOff>
                    <xdr:row>86</xdr:row>
                    <xdr:rowOff>279400</xdr:rowOff>
                  </to>
                </anchor>
              </controlPr>
            </control>
          </mc:Choice>
        </mc:AlternateContent>
        <mc:AlternateContent xmlns:mc="http://schemas.openxmlformats.org/markup-compatibility/2006">
          <mc:Choice Requires="x14">
            <control shapeId="1507" r:id="rId481" name="Check Box 483">
              <controlPr locked="0" defaultSize="0" autoFill="0" autoLine="0" autoPict="0">
                <anchor moveWithCells="1">
                  <from>
                    <xdr:col>3</xdr:col>
                    <xdr:colOff>88900</xdr:colOff>
                    <xdr:row>86</xdr:row>
                    <xdr:rowOff>63500</xdr:rowOff>
                  </from>
                  <to>
                    <xdr:col>3</xdr:col>
                    <xdr:colOff>285750</xdr:colOff>
                    <xdr:row>86</xdr:row>
                    <xdr:rowOff>279400</xdr:rowOff>
                  </to>
                </anchor>
              </controlPr>
            </control>
          </mc:Choice>
        </mc:AlternateContent>
        <mc:AlternateContent xmlns:mc="http://schemas.openxmlformats.org/markup-compatibility/2006">
          <mc:Choice Requires="x14">
            <control shapeId="1508" r:id="rId482" name="Check Box 484">
              <controlPr locked="0" defaultSize="0" autoFill="0" autoLine="0" autoPict="0">
                <anchor moveWithCells="1">
                  <from>
                    <xdr:col>4</xdr:col>
                    <xdr:colOff>88900</xdr:colOff>
                    <xdr:row>86</xdr:row>
                    <xdr:rowOff>63500</xdr:rowOff>
                  </from>
                  <to>
                    <xdr:col>4</xdr:col>
                    <xdr:colOff>285750</xdr:colOff>
                    <xdr:row>86</xdr:row>
                    <xdr:rowOff>279400</xdr:rowOff>
                  </to>
                </anchor>
              </controlPr>
            </control>
          </mc:Choice>
        </mc:AlternateContent>
        <mc:AlternateContent xmlns:mc="http://schemas.openxmlformats.org/markup-compatibility/2006">
          <mc:Choice Requires="x14">
            <control shapeId="1509" r:id="rId483" name="Check Box 485">
              <controlPr locked="0" defaultSize="0" autoFill="0" autoLine="0" autoPict="0">
                <anchor moveWithCells="1">
                  <from>
                    <xdr:col>5</xdr:col>
                    <xdr:colOff>88900</xdr:colOff>
                    <xdr:row>86</xdr:row>
                    <xdr:rowOff>63500</xdr:rowOff>
                  </from>
                  <to>
                    <xdr:col>5</xdr:col>
                    <xdr:colOff>285750</xdr:colOff>
                    <xdr:row>86</xdr:row>
                    <xdr:rowOff>279400</xdr:rowOff>
                  </to>
                </anchor>
              </controlPr>
            </control>
          </mc:Choice>
        </mc:AlternateContent>
        <mc:AlternateContent xmlns:mc="http://schemas.openxmlformats.org/markup-compatibility/2006">
          <mc:Choice Requires="x14">
            <control shapeId="1510" r:id="rId484" name="Check Box 486">
              <controlPr locked="0" defaultSize="0" autoFill="0" autoLine="0" autoPict="0">
                <anchor moveWithCells="1">
                  <from>
                    <xdr:col>6</xdr:col>
                    <xdr:colOff>88900</xdr:colOff>
                    <xdr:row>86</xdr:row>
                    <xdr:rowOff>63500</xdr:rowOff>
                  </from>
                  <to>
                    <xdr:col>6</xdr:col>
                    <xdr:colOff>285750</xdr:colOff>
                    <xdr:row>86</xdr:row>
                    <xdr:rowOff>279400</xdr:rowOff>
                  </to>
                </anchor>
              </controlPr>
            </control>
          </mc:Choice>
        </mc:AlternateContent>
        <mc:AlternateContent xmlns:mc="http://schemas.openxmlformats.org/markup-compatibility/2006">
          <mc:Choice Requires="x14">
            <control shapeId="1511" r:id="rId485" name="Check Box 487">
              <controlPr locked="0" defaultSize="0" autoFill="0" autoLine="0" autoPict="0">
                <anchor moveWithCells="1">
                  <from>
                    <xdr:col>7</xdr:col>
                    <xdr:colOff>88900</xdr:colOff>
                    <xdr:row>86</xdr:row>
                    <xdr:rowOff>63500</xdr:rowOff>
                  </from>
                  <to>
                    <xdr:col>7</xdr:col>
                    <xdr:colOff>285750</xdr:colOff>
                    <xdr:row>86</xdr:row>
                    <xdr:rowOff>279400</xdr:rowOff>
                  </to>
                </anchor>
              </controlPr>
            </control>
          </mc:Choice>
        </mc:AlternateContent>
        <mc:AlternateContent xmlns:mc="http://schemas.openxmlformats.org/markup-compatibility/2006">
          <mc:Choice Requires="x14">
            <control shapeId="1512" r:id="rId486" name="Check Box 488">
              <controlPr locked="0" defaultSize="0" autoFill="0" autoLine="0" autoPict="0">
                <anchor moveWithCells="1">
                  <from>
                    <xdr:col>8</xdr:col>
                    <xdr:colOff>88900</xdr:colOff>
                    <xdr:row>86</xdr:row>
                    <xdr:rowOff>63500</xdr:rowOff>
                  </from>
                  <to>
                    <xdr:col>8</xdr:col>
                    <xdr:colOff>285750</xdr:colOff>
                    <xdr:row>86</xdr:row>
                    <xdr:rowOff>279400</xdr:rowOff>
                  </to>
                </anchor>
              </controlPr>
            </control>
          </mc:Choice>
        </mc:AlternateContent>
        <mc:AlternateContent xmlns:mc="http://schemas.openxmlformats.org/markup-compatibility/2006">
          <mc:Choice Requires="x14">
            <control shapeId="1513" r:id="rId487" name="Check Box 489">
              <controlPr locked="0" defaultSize="0" autoFill="0" autoLine="0" autoPict="0">
                <anchor moveWithCells="1">
                  <from>
                    <xdr:col>2</xdr:col>
                    <xdr:colOff>88900</xdr:colOff>
                    <xdr:row>87</xdr:row>
                    <xdr:rowOff>63500</xdr:rowOff>
                  </from>
                  <to>
                    <xdr:col>2</xdr:col>
                    <xdr:colOff>285750</xdr:colOff>
                    <xdr:row>87</xdr:row>
                    <xdr:rowOff>279400</xdr:rowOff>
                  </to>
                </anchor>
              </controlPr>
            </control>
          </mc:Choice>
        </mc:AlternateContent>
        <mc:AlternateContent xmlns:mc="http://schemas.openxmlformats.org/markup-compatibility/2006">
          <mc:Choice Requires="x14">
            <control shapeId="1514" r:id="rId488" name="Check Box 490">
              <controlPr locked="0" defaultSize="0" autoFill="0" autoLine="0" autoPict="0">
                <anchor moveWithCells="1">
                  <from>
                    <xdr:col>3</xdr:col>
                    <xdr:colOff>88900</xdr:colOff>
                    <xdr:row>87</xdr:row>
                    <xdr:rowOff>63500</xdr:rowOff>
                  </from>
                  <to>
                    <xdr:col>3</xdr:col>
                    <xdr:colOff>285750</xdr:colOff>
                    <xdr:row>87</xdr:row>
                    <xdr:rowOff>279400</xdr:rowOff>
                  </to>
                </anchor>
              </controlPr>
            </control>
          </mc:Choice>
        </mc:AlternateContent>
        <mc:AlternateContent xmlns:mc="http://schemas.openxmlformats.org/markup-compatibility/2006">
          <mc:Choice Requires="x14">
            <control shapeId="1515" r:id="rId489" name="Check Box 491">
              <controlPr locked="0" defaultSize="0" autoFill="0" autoLine="0" autoPict="0">
                <anchor moveWithCells="1">
                  <from>
                    <xdr:col>4</xdr:col>
                    <xdr:colOff>88900</xdr:colOff>
                    <xdr:row>87</xdr:row>
                    <xdr:rowOff>63500</xdr:rowOff>
                  </from>
                  <to>
                    <xdr:col>4</xdr:col>
                    <xdr:colOff>285750</xdr:colOff>
                    <xdr:row>87</xdr:row>
                    <xdr:rowOff>279400</xdr:rowOff>
                  </to>
                </anchor>
              </controlPr>
            </control>
          </mc:Choice>
        </mc:AlternateContent>
        <mc:AlternateContent xmlns:mc="http://schemas.openxmlformats.org/markup-compatibility/2006">
          <mc:Choice Requires="x14">
            <control shapeId="1516" r:id="rId490" name="Check Box 492">
              <controlPr locked="0" defaultSize="0" autoFill="0" autoLine="0" autoPict="0">
                <anchor moveWithCells="1">
                  <from>
                    <xdr:col>5</xdr:col>
                    <xdr:colOff>88900</xdr:colOff>
                    <xdr:row>87</xdr:row>
                    <xdr:rowOff>63500</xdr:rowOff>
                  </from>
                  <to>
                    <xdr:col>5</xdr:col>
                    <xdr:colOff>285750</xdr:colOff>
                    <xdr:row>87</xdr:row>
                    <xdr:rowOff>279400</xdr:rowOff>
                  </to>
                </anchor>
              </controlPr>
            </control>
          </mc:Choice>
        </mc:AlternateContent>
        <mc:AlternateContent xmlns:mc="http://schemas.openxmlformats.org/markup-compatibility/2006">
          <mc:Choice Requires="x14">
            <control shapeId="1517" r:id="rId491" name="Check Box 493">
              <controlPr locked="0" defaultSize="0" autoFill="0" autoLine="0" autoPict="0">
                <anchor moveWithCells="1">
                  <from>
                    <xdr:col>6</xdr:col>
                    <xdr:colOff>88900</xdr:colOff>
                    <xdr:row>87</xdr:row>
                    <xdr:rowOff>63500</xdr:rowOff>
                  </from>
                  <to>
                    <xdr:col>6</xdr:col>
                    <xdr:colOff>285750</xdr:colOff>
                    <xdr:row>87</xdr:row>
                    <xdr:rowOff>279400</xdr:rowOff>
                  </to>
                </anchor>
              </controlPr>
            </control>
          </mc:Choice>
        </mc:AlternateContent>
        <mc:AlternateContent xmlns:mc="http://schemas.openxmlformats.org/markup-compatibility/2006">
          <mc:Choice Requires="x14">
            <control shapeId="1518" r:id="rId492" name="Check Box 494">
              <controlPr locked="0" defaultSize="0" autoFill="0" autoLine="0" autoPict="0">
                <anchor moveWithCells="1">
                  <from>
                    <xdr:col>7</xdr:col>
                    <xdr:colOff>88900</xdr:colOff>
                    <xdr:row>87</xdr:row>
                    <xdr:rowOff>63500</xdr:rowOff>
                  </from>
                  <to>
                    <xdr:col>7</xdr:col>
                    <xdr:colOff>285750</xdr:colOff>
                    <xdr:row>87</xdr:row>
                    <xdr:rowOff>279400</xdr:rowOff>
                  </to>
                </anchor>
              </controlPr>
            </control>
          </mc:Choice>
        </mc:AlternateContent>
        <mc:AlternateContent xmlns:mc="http://schemas.openxmlformats.org/markup-compatibility/2006">
          <mc:Choice Requires="x14">
            <control shapeId="1519" r:id="rId493" name="Check Box 495">
              <controlPr locked="0" defaultSize="0" autoFill="0" autoLine="0" autoPict="0">
                <anchor moveWithCells="1">
                  <from>
                    <xdr:col>8</xdr:col>
                    <xdr:colOff>88900</xdr:colOff>
                    <xdr:row>87</xdr:row>
                    <xdr:rowOff>63500</xdr:rowOff>
                  </from>
                  <to>
                    <xdr:col>8</xdr:col>
                    <xdr:colOff>285750</xdr:colOff>
                    <xdr:row>87</xdr:row>
                    <xdr:rowOff>279400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33FDA99F-C751-4432-91D9-589533EC58E5}">
          <x14:formula1>
            <xm:f>Listas!$A$1:$A$1440</xm:f>
          </x14:formula1>
          <xm:sqref>J5:J88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DFD6-0DF6-41AA-99EB-94E6D1760819}">
  <dimension ref="A1:H16"/>
  <sheetViews>
    <sheetView workbookViewId="0"/>
  </sheetViews>
  <sheetFormatPr defaultRowHeight="14.5" x14ac:dyDescent="0.35"/>
  <cols>
    <col min="1" max="1" width="40.6328125" customWidth="1"/>
    <col min="2" max="2" width="11.6328125" customWidth="1"/>
    <col min="3" max="4" width="13.6328125" customWidth="1"/>
    <col min="5" max="6" width="11.6328125" customWidth="1"/>
    <col min="7" max="7" width="14.6328125" customWidth="1"/>
    <col min="8" max="8" width="45.6328125" customWidth="1"/>
  </cols>
  <sheetData>
    <row r="1" spans="1:8" ht="34" customHeight="1" x14ac:dyDescent="0.6">
      <c r="A1" s="43" t="s">
        <v>42</v>
      </c>
      <c r="B1" s="44"/>
      <c r="C1" s="44"/>
      <c r="D1" s="44"/>
      <c r="E1" s="44"/>
      <c r="F1" s="44"/>
      <c r="G1" s="44"/>
      <c r="H1" s="44"/>
    </row>
    <row r="3" spans="1:8" x14ac:dyDescent="0.35">
      <c r="A3" s="6" t="s">
        <v>43</v>
      </c>
      <c r="B3" s="6" t="s">
        <v>44</v>
      </c>
      <c r="C3" s="6" t="s">
        <v>45</v>
      </c>
      <c r="D3" s="6" t="s">
        <v>46</v>
      </c>
      <c r="E3" s="6" t="s">
        <v>47</v>
      </c>
      <c r="F3" s="6" t="s">
        <v>48</v>
      </c>
      <c r="G3" s="6" t="s">
        <v>49</v>
      </c>
      <c r="H3" s="6" t="s">
        <v>50</v>
      </c>
    </row>
    <row r="4" spans="1:8" x14ac:dyDescent="0.35">
      <c r="A4" s="5" t="s">
        <v>12</v>
      </c>
      <c r="B4" s="5">
        <f>COUNTIF('Recordatorios Programados'!A:A,A4)</f>
        <v>0</v>
      </c>
      <c r="C4" s="7">
        <f>COUNTIFS('Recordatorios Programados'!A:A,A4,'Recordatorios Programados'!G:G,"PENDIENTE")</f>
        <v>0</v>
      </c>
      <c r="D4" s="8">
        <f>COUNTIFS('Recordatorios Programados'!A:A,A4,'Recordatorios Programados'!G:G,"ENVIADO")</f>
        <v>0</v>
      </c>
      <c r="E4" s="9">
        <f>COUNTIFS('Recordatorios Programados'!A:A,A4,'Recordatorios Programados'!G:G,"ERROR")</f>
        <v>0</v>
      </c>
      <c r="F4" s="5">
        <f>COUNTIFS('Recordatorios Programados'!A:A,A4,'Recordatorios Programados'!E:E,"SI")</f>
        <v>0</v>
      </c>
      <c r="G4" s="5">
        <f>COUNTIFS('Recordatorios Programados'!A:A,A4,'Recordatorios Programados'!F:F,"SI")</f>
        <v>0</v>
      </c>
      <c r="H4" s="5"/>
    </row>
    <row r="5" spans="1:8" x14ac:dyDescent="0.35">
      <c r="A5" s="5" t="s">
        <v>30</v>
      </c>
      <c r="B5" s="5">
        <f>COUNTIF('Recordatorios Programados'!A:A,A5)</f>
        <v>0</v>
      </c>
      <c r="C5" s="7">
        <f>COUNTIFS('Recordatorios Programados'!A:A,A5,'Recordatorios Programados'!G:G,"PENDIENTE")</f>
        <v>0</v>
      </c>
      <c r="D5" s="8">
        <f>COUNTIFS('Recordatorios Programados'!A:A,A5,'Recordatorios Programados'!G:G,"ENVIADO")</f>
        <v>0</v>
      </c>
      <c r="E5" s="9">
        <f>COUNTIFS('Recordatorios Programados'!A:A,A5,'Recordatorios Programados'!G:G,"ERROR")</f>
        <v>0</v>
      </c>
      <c r="F5" s="5">
        <f>COUNTIFS('Recordatorios Programados'!A:A,A5,'Recordatorios Programados'!E:E,"SI")</f>
        <v>0</v>
      </c>
      <c r="G5" s="5">
        <f>COUNTIFS('Recordatorios Programados'!A:A,A5,'Recordatorios Programados'!F:F,"SI")</f>
        <v>0</v>
      </c>
      <c r="H5" s="5"/>
    </row>
    <row r="6" spans="1:8" x14ac:dyDescent="0.35">
      <c r="A6" s="5" t="s">
        <v>31</v>
      </c>
      <c r="B6" s="5">
        <f>COUNTIF('Recordatorios Programados'!A:A,A6)</f>
        <v>0</v>
      </c>
      <c r="C6" s="7">
        <f>COUNTIFS('Recordatorios Programados'!A:A,A6,'Recordatorios Programados'!G:G,"PENDIENTE")</f>
        <v>0</v>
      </c>
      <c r="D6" s="8">
        <f>COUNTIFS('Recordatorios Programados'!A:A,A6,'Recordatorios Programados'!G:G,"ENVIADO")</f>
        <v>0</v>
      </c>
      <c r="E6" s="9">
        <f>COUNTIFS('Recordatorios Programados'!A:A,A6,'Recordatorios Programados'!G:G,"ERROR")</f>
        <v>0</v>
      </c>
      <c r="F6" s="5">
        <f>COUNTIFS('Recordatorios Programados'!A:A,A6,'Recordatorios Programados'!E:E,"SI")</f>
        <v>0</v>
      </c>
      <c r="G6" s="5">
        <f>COUNTIFS('Recordatorios Programados'!A:A,A6,'Recordatorios Programados'!F:F,"SI")</f>
        <v>0</v>
      </c>
      <c r="H6" s="5"/>
    </row>
    <row r="7" spans="1:8" x14ac:dyDescent="0.35">
      <c r="A7" s="5" t="s">
        <v>32</v>
      </c>
      <c r="B7" s="5">
        <f>COUNTIF('Recordatorios Programados'!A:A,A7)</f>
        <v>0</v>
      </c>
      <c r="C7" s="7">
        <f>COUNTIFS('Recordatorios Programados'!A:A,A7,'Recordatorios Programados'!G:G,"PENDIENTE")</f>
        <v>0</v>
      </c>
      <c r="D7" s="8">
        <f>COUNTIFS('Recordatorios Programados'!A:A,A7,'Recordatorios Programados'!G:G,"ENVIADO")</f>
        <v>0</v>
      </c>
      <c r="E7" s="9">
        <f>COUNTIFS('Recordatorios Programados'!A:A,A7,'Recordatorios Programados'!G:G,"ERROR")</f>
        <v>0</v>
      </c>
      <c r="F7" s="5">
        <f>COUNTIFS('Recordatorios Programados'!A:A,A7,'Recordatorios Programados'!E:E,"SI")</f>
        <v>0</v>
      </c>
      <c r="G7" s="5">
        <f>COUNTIFS('Recordatorios Programados'!A:A,A7,'Recordatorios Programados'!F:F,"SI")</f>
        <v>0</v>
      </c>
      <c r="H7" s="5"/>
    </row>
    <row r="8" spans="1:8" x14ac:dyDescent="0.35">
      <c r="A8" s="5" t="s">
        <v>33</v>
      </c>
      <c r="B8" s="5">
        <f>COUNTIF('Recordatorios Programados'!A:A,A8)</f>
        <v>0</v>
      </c>
      <c r="C8" s="7">
        <f>COUNTIFS('Recordatorios Programados'!A:A,A8,'Recordatorios Programados'!G:G,"PENDIENTE")</f>
        <v>0</v>
      </c>
      <c r="D8" s="8">
        <f>COUNTIFS('Recordatorios Programados'!A:A,A8,'Recordatorios Programados'!G:G,"ENVIADO")</f>
        <v>0</v>
      </c>
      <c r="E8" s="9">
        <f>COUNTIFS('Recordatorios Programados'!A:A,A8,'Recordatorios Programados'!G:G,"ERROR")</f>
        <v>0</v>
      </c>
      <c r="F8" s="5">
        <f>COUNTIFS('Recordatorios Programados'!A:A,A8,'Recordatorios Programados'!E:E,"SI")</f>
        <v>0</v>
      </c>
      <c r="G8" s="5">
        <f>COUNTIFS('Recordatorios Programados'!A:A,A8,'Recordatorios Programados'!F:F,"SI")</f>
        <v>0</v>
      </c>
      <c r="H8" s="5"/>
    </row>
    <row r="9" spans="1:8" x14ac:dyDescent="0.35">
      <c r="A9" s="5" t="s">
        <v>34</v>
      </c>
      <c r="B9" s="5">
        <f>COUNTIF('Recordatorios Programados'!A:A,A9)</f>
        <v>0</v>
      </c>
      <c r="C9" s="7">
        <f>COUNTIFS('Recordatorios Programados'!A:A,A9,'Recordatorios Programados'!G:G,"PENDIENTE")</f>
        <v>0</v>
      </c>
      <c r="D9" s="8">
        <f>COUNTIFS('Recordatorios Programados'!A:A,A9,'Recordatorios Programados'!G:G,"ENVIADO")</f>
        <v>0</v>
      </c>
      <c r="E9" s="9">
        <f>COUNTIFS('Recordatorios Programados'!A:A,A9,'Recordatorios Programados'!G:G,"ERROR")</f>
        <v>0</v>
      </c>
      <c r="F9" s="5">
        <f>COUNTIFS('Recordatorios Programados'!A:A,A9,'Recordatorios Programados'!E:E,"SI")</f>
        <v>0</v>
      </c>
      <c r="G9" s="5">
        <f>COUNTIFS('Recordatorios Programados'!A:A,A9,'Recordatorios Programados'!F:F,"SI")</f>
        <v>0</v>
      </c>
      <c r="H9" s="5"/>
    </row>
    <row r="10" spans="1:8" x14ac:dyDescent="0.35">
      <c r="A10" s="5" t="s">
        <v>35</v>
      </c>
      <c r="B10" s="5">
        <f>COUNTIF('Recordatorios Programados'!A:A,A10)</f>
        <v>0</v>
      </c>
      <c r="C10" s="7">
        <f>COUNTIFS('Recordatorios Programados'!A:A,A10,'Recordatorios Programados'!G:G,"PENDIENTE")</f>
        <v>0</v>
      </c>
      <c r="D10" s="8">
        <f>COUNTIFS('Recordatorios Programados'!A:A,A10,'Recordatorios Programados'!G:G,"ENVIADO")</f>
        <v>0</v>
      </c>
      <c r="E10" s="9">
        <f>COUNTIFS('Recordatorios Programados'!A:A,A10,'Recordatorios Programados'!G:G,"ERROR")</f>
        <v>0</v>
      </c>
      <c r="F10" s="5">
        <f>COUNTIFS('Recordatorios Programados'!A:A,A10,'Recordatorios Programados'!E:E,"SI")</f>
        <v>0</v>
      </c>
      <c r="G10" s="5">
        <f>COUNTIFS('Recordatorios Programados'!A:A,A10,'Recordatorios Programados'!F:F,"SI")</f>
        <v>0</v>
      </c>
      <c r="H10" s="5"/>
    </row>
    <row r="11" spans="1:8" x14ac:dyDescent="0.35">
      <c r="A11" s="5" t="s">
        <v>36</v>
      </c>
      <c r="B11" s="5">
        <f>COUNTIF('Recordatorios Programados'!A:A,A11)</f>
        <v>0</v>
      </c>
      <c r="C11" s="7">
        <f>COUNTIFS('Recordatorios Programados'!A:A,A11,'Recordatorios Programados'!G:G,"PENDIENTE")</f>
        <v>0</v>
      </c>
      <c r="D11" s="8">
        <f>COUNTIFS('Recordatorios Programados'!A:A,A11,'Recordatorios Programados'!G:G,"ENVIADO")</f>
        <v>0</v>
      </c>
      <c r="E11" s="9">
        <f>COUNTIFS('Recordatorios Programados'!A:A,A11,'Recordatorios Programados'!G:G,"ERROR")</f>
        <v>0</v>
      </c>
      <c r="F11" s="5">
        <f>COUNTIFS('Recordatorios Programados'!A:A,A11,'Recordatorios Programados'!E:E,"SI")</f>
        <v>0</v>
      </c>
      <c r="G11" s="5">
        <f>COUNTIFS('Recordatorios Programados'!A:A,A11,'Recordatorios Programados'!F:F,"SI")</f>
        <v>0</v>
      </c>
      <c r="H11" s="5"/>
    </row>
    <row r="12" spans="1:8" x14ac:dyDescent="0.35">
      <c r="A12" s="5" t="s">
        <v>37</v>
      </c>
      <c r="B12" s="5">
        <f>COUNTIF('Recordatorios Programados'!A:A,A12)</f>
        <v>0</v>
      </c>
      <c r="C12" s="7">
        <f>COUNTIFS('Recordatorios Programados'!A:A,A12,'Recordatorios Programados'!G:G,"PENDIENTE")</f>
        <v>0</v>
      </c>
      <c r="D12" s="8">
        <f>COUNTIFS('Recordatorios Programados'!A:A,A12,'Recordatorios Programados'!G:G,"ENVIADO")</f>
        <v>0</v>
      </c>
      <c r="E12" s="9">
        <f>COUNTIFS('Recordatorios Programados'!A:A,A12,'Recordatorios Programados'!G:G,"ERROR")</f>
        <v>0</v>
      </c>
      <c r="F12" s="5">
        <f>COUNTIFS('Recordatorios Programados'!A:A,A12,'Recordatorios Programados'!E:E,"SI")</f>
        <v>0</v>
      </c>
      <c r="G12" s="5">
        <f>COUNTIFS('Recordatorios Programados'!A:A,A12,'Recordatorios Programados'!F:F,"SI")</f>
        <v>0</v>
      </c>
      <c r="H12" s="5"/>
    </row>
    <row r="13" spans="1:8" x14ac:dyDescent="0.35">
      <c r="A13" s="5" t="s">
        <v>38</v>
      </c>
      <c r="B13" s="5">
        <f>COUNTIF('Recordatorios Programados'!A:A,A13)</f>
        <v>0</v>
      </c>
      <c r="C13" s="7">
        <f>COUNTIFS('Recordatorios Programados'!A:A,A13,'Recordatorios Programados'!G:G,"PENDIENTE")</f>
        <v>0</v>
      </c>
      <c r="D13" s="8">
        <f>COUNTIFS('Recordatorios Programados'!A:A,A13,'Recordatorios Programados'!G:G,"ENVIADO")</f>
        <v>0</v>
      </c>
      <c r="E13" s="9">
        <f>COUNTIFS('Recordatorios Programados'!A:A,A13,'Recordatorios Programados'!G:G,"ERROR")</f>
        <v>0</v>
      </c>
      <c r="F13" s="5">
        <f>COUNTIFS('Recordatorios Programados'!A:A,A13,'Recordatorios Programados'!E:E,"SI")</f>
        <v>0</v>
      </c>
      <c r="G13" s="5">
        <f>COUNTIFS('Recordatorios Programados'!A:A,A13,'Recordatorios Programados'!F:F,"SI")</f>
        <v>0</v>
      </c>
      <c r="H13" s="5"/>
    </row>
    <row r="14" spans="1:8" x14ac:dyDescent="0.35">
      <c r="A14" s="5" t="s">
        <v>39</v>
      </c>
      <c r="B14" s="5">
        <f>COUNTIF('Recordatorios Programados'!A:A,A14)</f>
        <v>0</v>
      </c>
      <c r="C14" s="7">
        <f>COUNTIFS('Recordatorios Programados'!A:A,A14,'Recordatorios Programados'!G:G,"PENDIENTE")</f>
        <v>0</v>
      </c>
      <c r="D14" s="8">
        <f>COUNTIFS('Recordatorios Programados'!A:A,A14,'Recordatorios Programados'!G:G,"ENVIADO")</f>
        <v>0</v>
      </c>
      <c r="E14" s="9">
        <f>COUNTIFS('Recordatorios Programados'!A:A,A14,'Recordatorios Programados'!G:G,"ERROR")</f>
        <v>0</v>
      </c>
      <c r="F14" s="5">
        <f>COUNTIFS('Recordatorios Programados'!A:A,A14,'Recordatorios Programados'!E:E,"SI")</f>
        <v>0</v>
      </c>
      <c r="G14" s="5">
        <f>COUNTIFS('Recordatorios Programados'!A:A,A14,'Recordatorios Programados'!F:F,"SI")</f>
        <v>0</v>
      </c>
      <c r="H14" s="5"/>
    </row>
    <row r="15" spans="1:8" x14ac:dyDescent="0.35">
      <c r="A15" s="5" t="s">
        <v>40</v>
      </c>
      <c r="B15" s="5">
        <f>COUNTIF('Recordatorios Programados'!A:A,A15)</f>
        <v>0</v>
      </c>
      <c r="C15" s="7">
        <f>COUNTIFS('Recordatorios Programados'!A:A,A15,'Recordatorios Programados'!G:G,"PENDIENTE")</f>
        <v>0</v>
      </c>
      <c r="D15" s="8">
        <f>COUNTIFS('Recordatorios Programados'!A:A,A15,'Recordatorios Programados'!G:G,"ENVIADO")</f>
        <v>0</v>
      </c>
      <c r="E15" s="9">
        <f>COUNTIFS('Recordatorios Programados'!A:A,A15,'Recordatorios Programados'!G:G,"ERROR")</f>
        <v>0</v>
      </c>
      <c r="F15" s="5">
        <f>COUNTIFS('Recordatorios Programados'!A:A,A15,'Recordatorios Programados'!E:E,"SI")</f>
        <v>0</v>
      </c>
      <c r="G15" s="5">
        <f>COUNTIFS('Recordatorios Programados'!A:A,A15,'Recordatorios Programados'!F:F,"SI")</f>
        <v>0</v>
      </c>
      <c r="H15" s="5"/>
    </row>
    <row r="16" spans="1:8" x14ac:dyDescent="0.35">
      <c r="A16" s="5" t="s">
        <v>41</v>
      </c>
      <c r="B16" s="5">
        <f>COUNTIF('Recordatorios Programados'!A:A,A16)</f>
        <v>0</v>
      </c>
      <c r="C16" s="7">
        <f>COUNTIFS('Recordatorios Programados'!A:A,A16,'Recordatorios Programados'!G:G,"PENDIENTE")</f>
        <v>0</v>
      </c>
      <c r="D16" s="8">
        <f>COUNTIFS('Recordatorios Programados'!A:A,A16,'Recordatorios Programados'!G:G,"ENVIADO")</f>
        <v>0</v>
      </c>
      <c r="E16" s="9">
        <f>COUNTIFS('Recordatorios Programados'!A:A,A16,'Recordatorios Programados'!G:G,"ERROR")</f>
        <v>0</v>
      </c>
      <c r="F16" s="5">
        <f>COUNTIFS('Recordatorios Programados'!A:A,A16,'Recordatorios Programados'!E:E,"SI")</f>
        <v>0</v>
      </c>
      <c r="G16" s="5">
        <f>COUNTIFS('Recordatorios Programados'!A:A,A16,'Recordatorios Programados'!F:F,"SI")</f>
        <v>0</v>
      </c>
      <c r="H16" s="5"/>
    </row>
  </sheetData>
  <autoFilter ref="A3:H3" xr:uid="{D03DDFD6-0DF6-41AA-99EB-94E6D1760819}"/>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2C29-9359-4235-AB0F-5A20F20A1D0D}">
  <dimension ref="A1:E8"/>
  <sheetViews>
    <sheetView workbookViewId="0"/>
  </sheetViews>
  <sheetFormatPr defaultRowHeight="14.5" x14ac:dyDescent="0.35"/>
  <cols>
    <col min="1" max="1" width="30.6328125" customWidth="1"/>
    <col min="2" max="2" width="24.6328125" customWidth="1"/>
    <col min="3" max="3" width="12.6328125" customWidth="1"/>
    <col min="4" max="4" width="16.6328125" customWidth="1"/>
    <col min="5" max="5" width="90.6328125" customWidth="1"/>
  </cols>
  <sheetData>
    <row r="1" spans="1:5" ht="26" x14ac:dyDescent="0.6">
      <c r="A1" s="43" t="s">
        <v>51</v>
      </c>
      <c r="B1" s="44"/>
      <c r="C1" s="44"/>
      <c r="D1" s="44"/>
      <c r="E1" s="44"/>
    </row>
    <row r="3" spans="1:5" x14ac:dyDescent="0.35">
      <c r="A3" s="1" t="s">
        <v>2</v>
      </c>
      <c r="B3" s="1" t="s">
        <v>3</v>
      </c>
      <c r="C3" s="1" t="s">
        <v>4</v>
      </c>
      <c r="D3" s="1" t="s">
        <v>52</v>
      </c>
      <c r="E3" s="1" t="s">
        <v>10</v>
      </c>
    </row>
    <row r="4" spans="1:5" ht="110" customHeight="1" x14ac:dyDescent="0.35">
      <c r="A4" s="2" t="s">
        <v>13</v>
      </c>
      <c r="B4" s="2" t="s">
        <v>14</v>
      </c>
      <c r="C4" s="2"/>
      <c r="D4" s="2" t="s">
        <v>15</v>
      </c>
      <c r="E4" s="3" t="s">
        <v>17</v>
      </c>
    </row>
    <row r="5" spans="1:5" ht="110" customHeight="1" x14ac:dyDescent="0.35">
      <c r="A5" s="2" t="s">
        <v>18</v>
      </c>
      <c r="B5" s="2" t="s">
        <v>19</v>
      </c>
      <c r="C5" s="4">
        <v>0.79166666666666663</v>
      </c>
      <c r="D5" s="2" t="s">
        <v>15</v>
      </c>
      <c r="E5" s="3" t="s">
        <v>20</v>
      </c>
    </row>
    <row r="6" spans="1:5" ht="110" customHeight="1" x14ac:dyDescent="0.35">
      <c r="A6" s="2" t="s">
        <v>21</v>
      </c>
      <c r="B6" s="2" t="s">
        <v>19</v>
      </c>
      <c r="C6" s="4">
        <v>0.83333333333333337</v>
      </c>
      <c r="D6" s="2" t="s">
        <v>15</v>
      </c>
      <c r="E6" s="3" t="s">
        <v>22</v>
      </c>
    </row>
    <row r="7" spans="1:5" ht="110" customHeight="1" x14ac:dyDescent="0.35">
      <c r="A7" s="2" t="s">
        <v>23</v>
      </c>
      <c r="B7" s="2" t="s">
        <v>24</v>
      </c>
      <c r="C7" s="4">
        <v>0.875</v>
      </c>
      <c r="D7" s="2" t="s">
        <v>15</v>
      </c>
      <c r="E7" s="3" t="s">
        <v>25</v>
      </c>
    </row>
    <row r="8" spans="1:5" ht="110" customHeight="1" x14ac:dyDescent="0.35">
      <c r="A8" s="2" t="s">
        <v>26</v>
      </c>
      <c r="B8" s="2" t="s">
        <v>27</v>
      </c>
      <c r="C8" s="2" t="s">
        <v>28</v>
      </c>
      <c r="D8" s="2" t="s">
        <v>15</v>
      </c>
      <c r="E8" s="3" t="s">
        <v>29</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0505-5106-419D-A86A-411875FBF56C}">
  <dimension ref="A1:D12"/>
  <sheetViews>
    <sheetView workbookViewId="0">
      <selection sqref="A1:D1"/>
    </sheetView>
  </sheetViews>
  <sheetFormatPr defaultRowHeight="14.5" x14ac:dyDescent="0.35"/>
  <cols>
    <col min="1" max="1" width="24.6328125" customWidth="1"/>
    <col min="2" max="2" width="105.6328125" customWidth="1"/>
  </cols>
  <sheetData>
    <row r="1" spans="1:4" ht="26" x14ac:dyDescent="0.6">
      <c r="A1" s="45" t="s">
        <v>53</v>
      </c>
      <c r="B1" s="46"/>
      <c r="C1" s="46"/>
      <c r="D1" s="46"/>
    </row>
    <row r="3" spans="1:4" x14ac:dyDescent="0.35">
      <c r="A3" s="10" t="s">
        <v>54</v>
      </c>
      <c r="B3" s="3" t="s">
        <v>55</v>
      </c>
    </row>
    <row r="4" spans="1:4" x14ac:dyDescent="0.35">
      <c r="A4" s="10" t="s">
        <v>56</v>
      </c>
      <c r="B4" s="3" t="s">
        <v>57</v>
      </c>
    </row>
    <row r="5" spans="1:4" x14ac:dyDescent="0.35">
      <c r="A5" s="10" t="s">
        <v>7</v>
      </c>
      <c r="B5" s="3" t="s">
        <v>58</v>
      </c>
    </row>
    <row r="6" spans="1:4" x14ac:dyDescent="0.35">
      <c r="A6" s="10" t="s">
        <v>5</v>
      </c>
      <c r="B6" s="3" t="s">
        <v>59</v>
      </c>
    </row>
    <row r="7" spans="1:4" x14ac:dyDescent="0.35">
      <c r="A7" s="10" t="s">
        <v>6</v>
      </c>
      <c r="B7" s="3" t="s">
        <v>60</v>
      </c>
    </row>
    <row r="8" spans="1:4" x14ac:dyDescent="0.35">
      <c r="A8" s="10" t="s">
        <v>3</v>
      </c>
      <c r="B8" s="3" t="s">
        <v>61</v>
      </c>
    </row>
    <row r="9" spans="1:4" x14ac:dyDescent="0.35">
      <c r="A9" s="10" t="s">
        <v>62</v>
      </c>
      <c r="B9" s="3" t="s">
        <v>63</v>
      </c>
    </row>
    <row r="11" spans="1:4" x14ac:dyDescent="0.35">
      <c r="A11" t="s">
        <v>8</v>
      </c>
      <c r="B11" t="s">
        <v>64</v>
      </c>
    </row>
    <row r="12" spans="1:4" x14ac:dyDescent="0.35">
      <c r="A12" s="11" t="s">
        <v>9</v>
      </c>
      <c r="B12" t="s">
        <v>65</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C38EC-0DAC-4B39-A277-8AB5A36A355C}">
  <dimension ref="A1:A1440"/>
  <sheetViews>
    <sheetView workbookViewId="0"/>
  </sheetViews>
  <sheetFormatPr defaultRowHeight="14.5" x14ac:dyDescent="0.35"/>
  <sheetData>
    <row r="1" spans="1:1" x14ac:dyDescent="0.35">
      <c r="A1" t="s">
        <v>76</v>
      </c>
    </row>
    <row r="2" spans="1:1" x14ac:dyDescent="0.35">
      <c r="A2" t="s">
        <v>77</v>
      </c>
    </row>
    <row r="3" spans="1:1" x14ac:dyDescent="0.35">
      <c r="A3" t="s">
        <v>78</v>
      </c>
    </row>
    <row r="4" spans="1:1" x14ac:dyDescent="0.35">
      <c r="A4" t="s">
        <v>79</v>
      </c>
    </row>
    <row r="5" spans="1:1" x14ac:dyDescent="0.35">
      <c r="A5" t="s">
        <v>80</v>
      </c>
    </row>
    <row r="6" spans="1:1" x14ac:dyDescent="0.35">
      <c r="A6" t="s">
        <v>81</v>
      </c>
    </row>
    <row r="7" spans="1:1" x14ac:dyDescent="0.35">
      <c r="A7" t="s">
        <v>82</v>
      </c>
    </row>
    <row r="8" spans="1:1" x14ac:dyDescent="0.35">
      <c r="A8" t="s">
        <v>83</v>
      </c>
    </row>
    <row r="9" spans="1:1" x14ac:dyDescent="0.35">
      <c r="A9" t="s">
        <v>84</v>
      </c>
    </row>
    <row r="10" spans="1:1" x14ac:dyDescent="0.35">
      <c r="A10" t="s">
        <v>85</v>
      </c>
    </row>
    <row r="11" spans="1:1" x14ac:dyDescent="0.35">
      <c r="A11" t="s">
        <v>86</v>
      </c>
    </row>
    <row r="12" spans="1:1" x14ac:dyDescent="0.35">
      <c r="A12" t="s">
        <v>87</v>
      </c>
    </row>
    <row r="13" spans="1:1" x14ac:dyDescent="0.35">
      <c r="A13" t="s">
        <v>88</v>
      </c>
    </row>
    <row r="14" spans="1:1" x14ac:dyDescent="0.35">
      <c r="A14" t="s">
        <v>89</v>
      </c>
    </row>
    <row r="15" spans="1:1" x14ac:dyDescent="0.35">
      <c r="A15" t="s">
        <v>90</v>
      </c>
    </row>
    <row r="16" spans="1:1" x14ac:dyDescent="0.35">
      <c r="A16" t="s">
        <v>91</v>
      </c>
    </row>
    <row r="17" spans="1:1" x14ac:dyDescent="0.35">
      <c r="A17" t="s">
        <v>92</v>
      </c>
    </row>
    <row r="18" spans="1:1" x14ac:dyDescent="0.35">
      <c r="A18" t="s">
        <v>93</v>
      </c>
    </row>
    <row r="19" spans="1:1" x14ac:dyDescent="0.35">
      <c r="A19" t="s">
        <v>94</v>
      </c>
    </row>
    <row r="20" spans="1:1" x14ac:dyDescent="0.35">
      <c r="A20" t="s">
        <v>95</v>
      </c>
    </row>
    <row r="21" spans="1:1" x14ac:dyDescent="0.35">
      <c r="A21" t="s">
        <v>96</v>
      </c>
    </row>
    <row r="22" spans="1:1" x14ac:dyDescent="0.35">
      <c r="A22" t="s">
        <v>97</v>
      </c>
    </row>
    <row r="23" spans="1:1" x14ac:dyDescent="0.35">
      <c r="A23" t="s">
        <v>98</v>
      </c>
    </row>
    <row r="24" spans="1:1" x14ac:dyDescent="0.35">
      <c r="A24" t="s">
        <v>99</v>
      </c>
    </row>
    <row r="25" spans="1:1" x14ac:dyDescent="0.35">
      <c r="A25" t="s">
        <v>100</v>
      </c>
    </row>
    <row r="26" spans="1:1" x14ac:dyDescent="0.35">
      <c r="A26" t="s">
        <v>101</v>
      </c>
    </row>
    <row r="27" spans="1:1" x14ac:dyDescent="0.35">
      <c r="A27" t="s">
        <v>102</v>
      </c>
    </row>
    <row r="28" spans="1:1" x14ac:dyDescent="0.35">
      <c r="A28" t="s">
        <v>103</v>
      </c>
    </row>
    <row r="29" spans="1:1" x14ac:dyDescent="0.35">
      <c r="A29" t="s">
        <v>104</v>
      </c>
    </row>
    <row r="30" spans="1:1" x14ac:dyDescent="0.35">
      <c r="A30" t="s">
        <v>105</v>
      </c>
    </row>
    <row r="31" spans="1:1" x14ac:dyDescent="0.35">
      <c r="A31" t="s">
        <v>106</v>
      </c>
    </row>
    <row r="32" spans="1:1" x14ac:dyDescent="0.35">
      <c r="A32" t="s">
        <v>107</v>
      </c>
    </row>
    <row r="33" spans="1:1" x14ac:dyDescent="0.35">
      <c r="A33" t="s">
        <v>108</v>
      </c>
    </row>
    <row r="34" spans="1:1" x14ac:dyDescent="0.35">
      <c r="A34" t="s">
        <v>109</v>
      </c>
    </row>
    <row r="35" spans="1:1" x14ac:dyDescent="0.35">
      <c r="A35" t="s">
        <v>110</v>
      </c>
    </row>
    <row r="36" spans="1:1" x14ac:dyDescent="0.35">
      <c r="A36" t="s">
        <v>111</v>
      </c>
    </row>
    <row r="37" spans="1:1" x14ac:dyDescent="0.35">
      <c r="A37" t="s">
        <v>112</v>
      </c>
    </row>
    <row r="38" spans="1:1" x14ac:dyDescent="0.35">
      <c r="A38" t="s">
        <v>113</v>
      </c>
    </row>
    <row r="39" spans="1:1" x14ac:dyDescent="0.35">
      <c r="A39" t="s">
        <v>114</v>
      </c>
    </row>
    <row r="40" spans="1:1" x14ac:dyDescent="0.35">
      <c r="A40" t="s">
        <v>115</v>
      </c>
    </row>
    <row r="41" spans="1:1" x14ac:dyDescent="0.35">
      <c r="A41" t="s">
        <v>116</v>
      </c>
    </row>
    <row r="42" spans="1:1" x14ac:dyDescent="0.35">
      <c r="A42" t="s">
        <v>117</v>
      </c>
    </row>
    <row r="43" spans="1:1" x14ac:dyDescent="0.35">
      <c r="A43" t="s">
        <v>118</v>
      </c>
    </row>
    <row r="44" spans="1:1" x14ac:dyDescent="0.35">
      <c r="A44" t="s">
        <v>119</v>
      </c>
    </row>
    <row r="45" spans="1:1" x14ac:dyDescent="0.35">
      <c r="A45" t="s">
        <v>120</v>
      </c>
    </row>
    <row r="46" spans="1:1" x14ac:dyDescent="0.35">
      <c r="A46" t="s">
        <v>121</v>
      </c>
    </row>
    <row r="47" spans="1:1" x14ac:dyDescent="0.35">
      <c r="A47" t="s">
        <v>122</v>
      </c>
    </row>
    <row r="48" spans="1:1" x14ac:dyDescent="0.35">
      <c r="A48" t="s">
        <v>123</v>
      </c>
    </row>
    <row r="49" spans="1:1" x14ac:dyDescent="0.35">
      <c r="A49" t="s">
        <v>124</v>
      </c>
    </row>
    <row r="50" spans="1:1" x14ac:dyDescent="0.35">
      <c r="A50" t="s">
        <v>125</v>
      </c>
    </row>
    <row r="51" spans="1:1" x14ac:dyDescent="0.35">
      <c r="A51" t="s">
        <v>126</v>
      </c>
    </row>
    <row r="52" spans="1:1" x14ac:dyDescent="0.35">
      <c r="A52" t="s">
        <v>127</v>
      </c>
    </row>
    <row r="53" spans="1:1" x14ac:dyDescent="0.35">
      <c r="A53" t="s">
        <v>128</v>
      </c>
    </row>
    <row r="54" spans="1:1" x14ac:dyDescent="0.35">
      <c r="A54" t="s">
        <v>129</v>
      </c>
    </row>
    <row r="55" spans="1:1" x14ac:dyDescent="0.35">
      <c r="A55" t="s">
        <v>130</v>
      </c>
    </row>
    <row r="56" spans="1:1" x14ac:dyDescent="0.35">
      <c r="A56" t="s">
        <v>131</v>
      </c>
    </row>
    <row r="57" spans="1:1" x14ac:dyDescent="0.35">
      <c r="A57" t="s">
        <v>132</v>
      </c>
    </row>
    <row r="58" spans="1:1" x14ac:dyDescent="0.35">
      <c r="A58" t="s">
        <v>133</v>
      </c>
    </row>
    <row r="59" spans="1:1" x14ac:dyDescent="0.35">
      <c r="A59" t="s">
        <v>134</v>
      </c>
    </row>
    <row r="60" spans="1:1" x14ac:dyDescent="0.35">
      <c r="A60" t="s">
        <v>135</v>
      </c>
    </row>
    <row r="61" spans="1:1" x14ac:dyDescent="0.35">
      <c r="A61" t="s">
        <v>136</v>
      </c>
    </row>
    <row r="62" spans="1:1" x14ac:dyDescent="0.35">
      <c r="A62" t="s">
        <v>137</v>
      </c>
    </row>
    <row r="63" spans="1:1" x14ac:dyDescent="0.35">
      <c r="A63" t="s">
        <v>138</v>
      </c>
    </row>
    <row r="64" spans="1:1" x14ac:dyDescent="0.35">
      <c r="A64" t="s">
        <v>139</v>
      </c>
    </row>
    <row r="65" spans="1:1" x14ac:dyDescent="0.35">
      <c r="A65" t="s">
        <v>140</v>
      </c>
    </row>
    <row r="66" spans="1:1" x14ac:dyDescent="0.35">
      <c r="A66" t="s">
        <v>141</v>
      </c>
    </row>
    <row r="67" spans="1:1" x14ac:dyDescent="0.35">
      <c r="A67" t="s">
        <v>142</v>
      </c>
    </row>
    <row r="68" spans="1:1" x14ac:dyDescent="0.35">
      <c r="A68" t="s">
        <v>143</v>
      </c>
    </row>
    <row r="69" spans="1:1" x14ac:dyDescent="0.35">
      <c r="A69" t="s">
        <v>144</v>
      </c>
    </row>
    <row r="70" spans="1:1" x14ac:dyDescent="0.35">
      <c r="A70" t="s">
        <v>145</v>
      </c>
    </row>
    <row r="71" spans="1:1" x14ac:dyDescent="0.35">
      <c r="A71" t="s">
        <v>146</v>
      </c>
    </row>
    <row r="72" spans="1:1" x14ac:dyDescent="0.35">
      <c r="A72" t="s">
        <v>147</v>
      </c>
    </row>
    <row r="73" spans="1:1" x14ac:dyDescent="0.35">
      <c r="A73" t="s">
        <v>148</v>
      </c>
    </row>
    <row r="74" spans="1:1" x14ac:dyDescent="0.35">
      <c r="A74" t="s">
        <v>149</v>
      </c>
    </row>
    <row r="75" spans="1:1" x14ac:dyDescent="0.35">
      <c r="A75" t="s">
        <v>150</v>
      </c>
    </row>
    <row r="76" spans="1:1" x14ac:dyDescent="0.35">
      <c r="A76" t="s">
        <v>151</v>
      </c>
    </row>
    <row r="77" spans="1:1" x14ac:dyDescent="0.35">
      <c r="A77" t="s">
        <v>152</v>
      </c>
    </row>
    <row r="78" spans="1:1" x14ac:dyDescent="0.35">
      <c r="A78" t="s">
        <v>153</v>
      </c>
    </row>
    <row r="79" spans="1:1" x14ac:dyDescent="0.35">
      <c r="A79" t="s">
        <v>154</v>
      </c>
    </row>
    <row r="80" spans="1:1" x14ac:dyDescent="0.35">
      <c r="A80" t="s">
        <v>155</v>
      </c>
    </row>
    <row r="81" spans="1:1" x14ac:dyDescent="0.35">
      <c r="A81" t="s">
        <v>156</v>
      </c>
    </row>
    <row r="82" spans="1:1" x14ac:dyDescent="0.35">
      <c r="A82" t="s">
        <v>157</v>
      </c>
    </row>
    <row r="83" spans="1:1" x14ac:dyDescent="0.35">
      <c r="A83" t="s">
        <v>158</v>
      </c>
    </row>
    <row r="84" spans="1:1" x14ac:dyDescent="0.35">
      <c r="A84" t="s">
        <v>159</v>
      </c>
    </row>
    <row r="85" spans="1:1" x14ac:dyDescent="0.35">
      <c r="A85" t="s">
        <v>160</v>
      </c>
    </row>
    <row r="86" spans="1:1" x14ac:dyDescent="0.35">
      <c r="A86" t="s">
        <v>161</v>
      </c>
    </row>
    <row r="87" spans="1:1" x14ac:dyDescent="0.35">
      <c r="A87" t="s">
        <v>162</v>
      </c>
    </row>
    <row r="88" spans="1:1" x14ac:dyDescent="0.35">
      <c r="A88" t="s">
        <v>163</v>
      </c>
    </row>
    <row r="89" spans="1:1" x14ac:dyDescent="0.35">
      <c r="A89" t="s">
        <v>164</v>
      </c>
    </row>
    <row r="90" spans="1:1" x14ac:dyDescent="0.35">
      <c r="A90" t="s">
        <v>165</v>
      </c>
    </row>
    <row r="91" spans="1:1" x14ac:dyDescent="0.35">
      <c r="A91" t="s">
        <v>166</v>
      </c>
    </row>
    <row r="92" spans="1:1" x14ac:dyDescent="0.35">
      <c r="A92" t="s">
        <v>167</v>
      </c>
    </row>
    <row r="93" spans="1:1" x14ac:dyDescent="0.35">
      <c r="A93" t="s">
        <v>168</v>
      </c>
    </row>
    <row r="94" spans="1:1" x14ac:dyDescent="0.35">
      <c r="A94" t="s">
        <v>169</v>
      </c>
    </row>
    <row r="95" spans="1:1" x14ac:dyDescent="0.35">
      <c r="A95" t="s">
        <v>170</v>
      </c>
    </row>
    <row r="96" spans="1:1" x14ac:dyDescent="0.35">
      <c r="A96" t="s">
        <v>171</v>
      </c>
    </row>
    <row r="97" spans="1:1" x14ac:dyDescent="0.35">
      <c r="A97" t="s">
        <v>172</v>
      </c>
    </row>
    <row r="98" spans="1:1" x14ac:dyDescent="0.35">
      <c r="A98" t="s">
        <v>173</v>
      </c>
    </row>
    <row r="99" spans="1:1" x14ac:dyDescent="0.35">
      <c r="A99" t="s">
        <v>174</v>
      </c>
    </row>
    <row r="100" spans="1:1" x14ac:dyDescent="0.35">
      <c r="A100" t="s">
        <v>175</v>
      </c>
    </row>
    <row r="101" spans="1:1" x14ac:dyDescent="0.35">
      <c r="A101" t="s">
        <v>176</v>
      </c>
    </row>
    <row r="102" spans="1:1" x14ac:dyDescent="0.35">
      <c r="A102" t="s">
        <v>177</v>
      </c>
    </row>
    <row r="103" spans="1:1" x14ac:dyDescent="0.35">
      <c r="A103" t="s">
        <v>178</v>
      </c>
    </row>
    <row r="104" spans="1:1" x14ac:dyDescent="0.35">
      <c r="A104" t="s">
        <v>179</v>
      </c>
    </row>
    <row r="105" spans="1:1" x14ac:dyDescent="0.35">
      <c r="A105" t="s">
        <v>180</v>
      </c>
    </row>
    <row r="106" spans="1:1" x14ac:dyDescent="0.35">
      <c r="A106" t="s">
        <v>181</v>
      </c>
    </row>
    <row r="107" spans="1:1" x14ac:dyDescent="0.35">
      <c r="A107" t="s">
        <v>182</v>
      </c>
    </row>
    <row r="108" spans="1:1" x14ac:dyDescent="0.35">
      <c r="A108" t="s">
        <v>183</v>
      </c>
    </row>
    <row r="109" spans="1:1" x14ac:dyDescent="0.35">
      <c r="A109" t="s">
        <v>184</v>
      </c>
    </row>
    <row r="110" spans="1:1" x14ac:dyDescent="0.35">
      <c r="A110" t="s">
        <v>185</v>
      </c>
    </row>
    <row r="111" spans="1:1" x14ac:dyDescent="0.35">
      <c r="A111" t="s">
        <v>186</v>
      </c>
    </row>
    <row r="112" spans="1:1" x14ac:dyDescent="0.35">
      <c r="A112" t="s">
        <v>187</v>
      </c>
    </row>
    <row r="113" spans="1:1" x14ac:dyDescent="0.35">
      <c r="A113" t="s">
        <v>188</v>
      </c>
    </row>
    <row r="114" spans="1:1" x14ac:dyDescent="0.35">
      <c r="A114" t="s">
        <v>189</v>
      </c>
    </row>
    <row r="115" spans="1:1" x14ac:dyDescent="0.35">
      <c r="A115" t="s">
        <v>190</v>
      </c>
    </row>
    <row r="116" spans="1:1" x14ac:dyDescent="0.35">
      <c r="A116" t="s">
        <v>191</v>
      </c>
    </row>
    <row r="117" spans="1:1" x14ac:dyDescent="0.35">
      <c r="A117" t="s">
        <v>192</v>
      </c>
    </row>
    <row r="118" spans="1:1" x14ac:dyDescent="0.35">
      <c r="A118" t="s">
        <v>193</v>
      </c>
    </row>
    <row r="119" spans="1:1" x14ac:dyDescent="0.35">
      <c r="A119" t="s">
        <v>194</v>
      </c>
    </row>
    <row r="120" spans="1:1" x14ac:dyDescent="0.35">
      <c r="A120" t="s">
        <v>195</v>
      </c>
    </row>
    <row r="121" spans="1:1" x14ac:dyDescent="0.35">
      <c r="A121" t="s">
        <v>196</v>
      </c>
    </row>
    <row r="122" spans="1:1" x14ac:dyDescent="0.35">
      <c r="A122" t="s">
        <v>197</v>
      </c>
    </row>
    <row r="123" spans="1:1" x14ac:dyDescent="0.35">
      <c r="A123" t="s">
        <v>198</v>
      </c>
    </row>
    <row r="124" spans="1:1" x14ac:dyDescent="0.35">
      <c r="A124" t="s">
        <v>199</v>
      </c>
    </row>
    <row r="125" spans="1:1" x14ac:dyDescent="0.35">
      <c r="A125" t="s">
        <v>200</v>
      </c>
    </row>
    <row r="126" spans="1:1" x14ac:dyDescent="0.35">
      <c r="A126" t="s">
        <v>201</v>
      </c>
    </row>
    <row r="127" spans="1:1" x14ac:dyDescent="0.35">
      <c r="A127" t="s">
        <v>202</v>
      </c>
    </row>
    <row r="128" spans="1:1" x14ac:dyDescent="0.35">
      <c r="A128" t="s">
        <v>203</v>
      </c>
    </row>
    <row r="129" spans="1:1" x14ac:dyDescent="0.35">
      <c r="A129" t="s">
        <v>204</v>
      </c>
    </row>
    <row r="130" spans="1:1" x14ac:dyDescent="0.35">
      <c r="A130" t="s">
        <v>205</v>
      </c>
    </row>
    <row r="131" spans="1:1" x14ac:dyDescent="0.35">
      <c r="A131" t="s">
        <v>206</v>
      </c>
    </row>
    <row r="132" spans="1:1" x14ac:dyDescent="0.35">
      <c r="A132" t="s">
        <v>207</v>
      </c>
    </row>
    <row r="133" spans="1:1" x14ac:dyDescent="0.35">
      <c r="A133" t="s">
        <v>208</v>
      </c>
    </row>
    <row r="134" spans="1:1" x14ac:dyDescent="0.35">
      <c r="A134" t="s">
        <v>209</v>
      </c>
    </row>
    <row r="135" spans="1:1" x14ac:dyDescent="0.35">
      <c r="A135" t="s">
        <v>210</v>
      </c>
    </row>
    <row r="136" spans="1:1" x14ac:dyDescent="0.35">
      <c r="A136" t="s">
        <v>211</v>
      </c>
    </row>
    <row r="137" spans="1:1" x14ac:dyDescent="0.35">
      <c r="A137" t="s">
        <v>212</v>
      </c>
    </row>
    <row r="138" spans="1:1" x14ac:dyDescent="0.35">
      <c r="A138" t="s">
        <v>213</v>
      </c>
    </row>
    <row r="139" spans="1:1" x14ac:dyDescent="0.35">
      <c r="A139" t="s">
        <v>214</v>
      </c>
    </row>
    <row r="140" spans="1:1" x14ac:dyDescent="0.35">
      <c r="A140" t="s">
        <v>215</v>
      </c>
    </row>
    <row r="141" spans="1:1" x14ac:dyDescent="0.35">
      <c r="A141" t="s">
        <v>216</v>
      </c>
    </row>
    <row r="142" spans="1:1" x14ac:dyDescent="0.35">
      <c r="A142" t="s">
        <v>217</v>
      </c>
    </row>
    <row r="143" spans="1:1" x14ac:dyDescent="0.35">
      <c r="A143" t="s">
        <v>218</v>
      </c>
    </row>
    <row r="144" spans="1:1" x14ac:dyDescent="0.35">
      <c r="A144" t="s">
        <v>219</v>
      </c>
    </row>
    <row r="145" spans="1:1" x14ac:dyDescent="0.35">
      <c r="A145" t="s">
        <v>220</v>
      </c>
    </row>
    <row r="146" spans="1:1" x14ac:dyDescent="0.35">
      <c r="A146" t="s">
        <v>221</v>
      </c>
    </row>
    <row r="147" spans="1:1" x14ac:dyDescent="0.35">
      <c r="A147" t="s">
        <v>222</v>
      </c>
    </row>
    <row r="148" spans="1:1" x14ac:dyDescent="0.35">
      <c r="A148" t="s">
        <v>223</v>
      </c>
    </row>
    <row r="149" spans="1:1" x14ac:dyDescent="0.35">
      <c r="A149" t="s">
        <v>224</v>
      </c>
    </row>
    <row r="150" spans="1:1" x14ac:dyDescent="0.35">
      <c r="A150" t="s">
        <v>225</v>
      </c>
    </row>
    <row r="151" spans="1:1" x14ac:dyDescent="0.35">
      <c r="A151" t="s">
        <v>226</v>
      </c>
    </row>
    <row r="152" spans="1:1" x14ac:dyDescent="0.35">
      <c r="A152" t="s">
        <v>227</v>
      </c>
    </row>
    <row r="153" spans="1:1" x14ac:dyDescent="0.35">
      <c r="A153" t="s">
        <v>228</v>
      </c>
    </row>
    <row r="154" spans="1:1" x14ac:dyDescent="0.35">
      <c r="A154" t="s">
        <v>229</v>
      </c>
    </row>
    <row r="155" spans="1:1" x14ac:dyDescent="0.35">
      <c r="A155" t="s">
        <v>230</v>
      </c>
    </row>
    <row r="156" spans="1:1" x14ac:dyDescent="0.35">
      <c r="A156" t="s">
        <v>231</v>
      </c>
    </row>
    <row r="157" spans="1:1" x14ac:dyDescent="0.35">
      <c r="A157" t="s">
        <v>232</v>
      </c>
    </row>
    <row r="158" spans="1:1" x14ac:dyDescent="0.35">
      <c r="A158" t="s">
        <v>233</v>
      </c>
    </row>
    <row r="159" spans="1:1" x14ac:dyDescent="0.35">
      <c r="A159" t="s">
        <v>234</v>
      </c>
    </row>
    <row r="160" spans="1:1" x14ac:dyDescent="0.35">
      <c r="A160" t="s">
        <v>235</v>
      </c>
    </row>
    <row r="161" spans="1:1" x14ac:dyDescent="0.35">
      <c r="A161" t="s">
        <v>236</v>
      </c>
    </row>
    <row r="162" spans="1:1" x14ac:dyDescent="0.35">
      <c r="A162" t="s">
        <v>237</v>
      </c>
    </row>
    <row r="163" spans="1:1" x14ac:dyDescent="0.35">
      <c r="A163" t="s">
        <v>238</v>
      </c>
    </row>
    <row r="164" spans="1:1" x14ac:dyDescent="0.35">
      <c r="A164" t="s">
        <v>239</v>
      </c>
    </row>
    <row r="165" spans="1:1" x14ac:dyDescent="0.35">
      <c r="A165" t="s">
        <v>240</v>
      </c>
    </row>
    <row r="166" spans="1:1" x14ac:dyDescent="0.35">
      <c r="A166" t="s">
        <v>241</v>
      </c>
    </row>
    <row r="167" spans="1:1" x14ac:dyDescent="0.35">
      <c r="A167" t="s">
        <v>242</v>
      </c>
    </row>
    <row r="168" spans="1:1" x14ac:dyDescent="0.35">
      <c r="A168" t="s">
        <v>243</v>
      </c>
    </row>
    <row r="169" spans="1:1" x14ac:dyDescent="0.35">
      <c r="A169" t="s">
        <v>244</v>
      </c>
    </row>
    <row r="170" spans="1:1" x14ac:dyDescent="0.35">
      <c r="A170" t="s">
        <v>245</v>
      </c>
    </row>
    <row r="171" spans="1:1" x14ac:dyDescent="0.35">
      <c r="A171" t="s">
        <v>246</v>
      </c>
    </row>
    <row r="172" spans="1:1" x14ac:dyDescent="0.35">
      <c r="A172" t="s">
        <v>247</v>
      </c>
    </row>
    <row r="173" spans="1:1" x14ac:dyDescent="0.35">
      <c r="A173" t="s">
        <v>248</v>
      </c>
    </row>
    <row r="174" spans="1:1" x14ac:dyDescent="0.35">
      <c r="A174" t="s">
        <v>249</v>
      </c>
    </row>
    <row r="175" spans="1:1" x14ac:dyDescent="0.35">
      <c r="A175" t="s">
        <v>250</v>
      </c>
    </row>
    <row r="176" spans="1:1" x14ac:dyDescent="0.35">
      <c r="A176" t="s">
        <v>251</v>
      </c>
    </row>
    <row r="177" spans="1:1" x14ac:dyDescent="0.35">
      <c r="A177" t="s">
        <v>252</v>
      </c>
    </row>
    <row r="178" spans="1:1" x14ac:dyDescent="0.35">
      <c r="A178" t="s">
        <v>253</v>
      </c>
    </row>
    <row r="179" spans="1:1" x14ac:dyDescent="0.35">
      <c r="A179" t="s">
        <v>254</v>
      </c>
    </row>
    <row r="180" spans="1:1" x14ac:dyDescent="0.35">
      <c r="A180" t="s">
        <v>255</v>
      </c>
    </row>
    <row r="181" spans="1:1" x14ac:dyDescent="0.35">
      <c r="A181" t="s">
        <v>256</v>
      </c>
    </row>
    <row r="182" spans="1:1" x14ac:dyDescent="0.35">
      <c r="A182" t="s">
        <v>257</v>
      </c>
    </row>
    <row r="183" spans="1:1" x14ac:dyDescent="0.35">
      <c r="A183" t="s">
        <v>258</v>
      </c>
    </row>
    <row r="184" spans="1:1" x14ac:dyDescent="0.35">
      <c r="A184" t="s">
        <v>259</v>
      </c>
    </row>
    <row r="185" spans="1:1" x14ac:dyDescent="0.35">
      <c r="A185" t="s">
        <v>260</v>
      </c>
    </row>
    <row r="186" spans="1:1" x14ac:dyDescent="0.35">
      <c r="A186" t="s">
        <v>261</v>
      </c>
    </row>
    <row r="187" spans="1:1" x14ac:dyDescent="0.35">
      <c r="A187" t="s">
        <v>262</v>
      </c>
    </row>
    <row r="188" spans="1:1" x14ac:dyDescent="0.35">
      <c r="A188" t="s">
        <v>263</v>
      </c>
    </row>
    <row r="189" spans="1:1" x14ac:dyDescent="0.35">
      <c r="A189" t="s">
        <v>264</v>
      </c>
    </row>
    <row r="190" spans="1:1" x14ac:dyDescent="0.35">
      <c r="A190" t="s">
        <v>265</v>
      </c>
    </row>
    <row r="191" spans="1:1" x14ac:dyDescent="0.35">
      <c r="A191" t="s">
        <v>266</v>
      </c>
    </row>
    <row r="192" spans="1:1" x14ac:dyDescent="0.35">
      <c r="A192" t="s">
        <v>267</v>
      </c>
    </row>
    <row r="193" spans="1:1" x14ac:dyDescent="0.35">
      <c r="A193" t="s">
        <v>268</v>
      </c>
    </row>
    <row r="194" spans="1:1" x14ac:dyDescent="0.35">
      <c r="A194" t="s">
        <v>269</v>
      </c>
    </row>
    <row r="195" spans="1:1" x14ac:dyDescent="0.35">
      <c r="A195" t="s">
        <v>270</v>
      </c>
    </row>
    <row r="196" spans="1:1" x14ac:dyDescent="0.35">
      <c r="A196" t="s">
        <v>271</v>
      </c>
    </row>
    <row r="197" spans="1:1" x14ac:dyDescent="0.35">
      <c r="A197" t="s">
        <v>272</v>
      </c>
    </row>
    <row r="198" spans="1:1" x14ac:dyDescent="0.35">
      <c r="A198" t="s">
        <v>273</v>
      </c>
    </row>
    <row r="199" spans="1:1" x14ac:dyDescent="0.35">
      <c r="A199" t="s">
        <v>274</v>
      </c>
    </row>
    <row r="200" spans="1:1" x14ac:dyDescent="0.35">
      <c r="A200" t="s">
        <v>275</v>
      </c>
    </row>
    <row r="201" spans="1:1" x14ac:dyDescent="0.35">
      <c r="A201" t="s">
        <v>276</v>
      </c>
    </row>
    <row r="202" spans="1:1" x14ac:dyDescent="0.35">
      <c r="A202" t="s">
        <v>277</v>
      </c>
    </row>
    <row r="203" spans="1:1" x14ac:dyDescent="0.35">
      <c r="A203" t="s">
        <v>278</v>
      </c>
    </row>
    <row r="204" spans="1:1" x14ac:dyDescent="0.35">
      <c r="A204" t="s">
        <v>279</v>
      </c>
    </row>
    <row r="205" spans="1:1" x14ac:dyDescent="0.35">
      <c r="A205" t="s">
        <v>280</v>
      </c>
    </row>
    <row r="206" spans="1:1" x14ac:dyDescent="0.35">
      <c r="A206" t="s">
        <v>281</v>
      </c>
    </row>
    <row r="207" spans="1:1" x14ac:dyDescent="0.35">
      <c r="A207" t="s">
        <v>282</v>
      </c>
    </row>
    <row r="208" spans="1:1" x14ac:dyDescent="0.35">
      <c r="A208" t="s">
        <v>283</v>
      </c>
    </row>
    <row r="209" spans="1:1" x14ac:dyDescent="0.35">
      <c r="A209" t="s">
        <v>284</v>
      </c>
    </row>
    <row r="210" spans="1:1" x14ac:dyDescent="0.35">
      <c r="A210" t="s">
        <v>285</v>
      </c>
    </row>
    <row r="211" spans="1:1" x14ac:dyDescent="0.35">
      <c r="A211" t="s">
        <v>286</v>
      </c>
    </row>
    <row r="212" spans="1:1" x14ac:dyDescent="0.35">
      <c r="A212" t="s">
        <v>287</v>
      </c>
    </row>
    <row r="213" spans="1:1" x14ac:dyDescent="0.35">
      <c r="A213" t="s">
        <v>288</v>
      </c>
    </row>
    <row r="214" spans="1:1" x14ac:dyDescent="0.35">
      <c r="A214" t="s">
        <v>289</v>
      </c>
    </row>
    <row r="215" spans="1:1" x14ac:dyDescent="0.35">
      <c r="A215" t="s">
        <v>290</v>
      </c>
    </row>
    <row r="216" spans="1:1" x14ac:dyDescent="0.35">
      <c r="A216" t="s">
        <v>291</v>
      </c>
    </row>
    <row r="217" spans="1:1" x14ac:dyDescent="0.35">
      <c r="A217" t="s">
        <v>292</v>
      </c>
    </row>
    <row r="218" spans="1:1" x14ac:dyDescent="0.35">
      <c r="A218" t="s">
        <v>293</v>
      </c>
    </row>
    <row r="219" spans="1:1" x14ac:dyDescent="0.35">
      <c r="A219" t="s">
        <v>294</v>
      </c>
    </row>
    <row r="220" spans="1:1" x14ac:dyDescent="0.35">
      <c r="A220" t="s">
        <v>295</v>
      </c>
    </row>
    <row r="221" spans="1:1" x14ac:dyDescent="0.35">
      <c r="A221" t="s">
        <v>296</v>
      </c>
    </row>
    <row r="222" spans="1:1" x14ac:dyDescent="0.35">
      <c r="A222" t="s">
        <v>297</v>
      </c>
    </row>
    <row r="223" spans="1:1" x14ac:dyDescent="0.35">
      <c r="A223" t="s">
        <v>298</v>
      </c>
    </row>
    <row r="224" spans="1:1" x14ac:dyDescent="0.35">
      <c r="A224" t="s">
        <v>299</v>
      </c>
    </row>
    <row r="225" spans="1:1" x14ac:dyDescent="0.35">
      <c r="A225" t="s">
        <v>300</v>
      </c>
    </row>
    <row r="226" spans="1:1" x14ac:dyDescent="0.35">
      <c r="A226" t="s">
        <v>301</v>
      </c>
    </row>
    <row r="227" spans="1:1" x14ac:dyDescent="0.35">
      <c r="A227" t="s">
        <v>302</v>
      </c>
    </row>
    <row r="228" spans="1:1" x14ac:dyDescent="0.35">
      <c r="A228" t="s">
        <v>303</v>
      </c>
    </row>
    <row r="229" spans="1:1" x14ac:dyDescent="0.35">
      <c r="A229" t="s">
        <v>304</v>
      </c>
    </row>
    <row r="230" spans="1:1" x14ac:dyDescent="0.35">
      <c r="A230" t="s">
        <v>305</v>
      </c>
    </row>
    <row r="231" spans="1:1" x14ac:dyDescent="0.35">
      <c r="A231" t="s">
        <v>306</v>
      </c>
    </row>
    <row r="232" spans="1:1" x14ac:dyDescent="0.35">
      <c r="A232" t="s">
        <v>307</v>
      </c>
    </row>
    <row r="233" spans="1:1" x14ac:dyDescent="0.35">
      <c r="A233" t="s">
        <v>308</v>
      </c>
    </row>
    <row r="234" spans="1:1" x14ac:dyDescent="0.35">
      <c r="A234" t="s">
        <v>309</v>
      </c>
    </row>
    <row r="235" spans="1:1" x14ac:dyDescent="0.35">
      <c r="A235" t="s">
        <v>310</v>
      </c>
    </row>
    <row r="236" spans="1:1" x14ac:dyDescent="0.35">
      <c r="A236" t="s">
        <v>311</v>
      </c>
    </row>
    <row r="237" spans="1:1" x14ac:dyDescent="0.35">
      <c r="A237" t="s">
        <v>312</v>
      </c>
    </row>
    <row r="238" spans="1:1" x14ac:dyDescent="0.35">
      <c r="A238" t="s">
        <v>313</v>
      </c>
    </row>
    <row r="239" spans="1:1" x14ac:dyDescent="0.35">
      <c r="A239" t="s">
        <v>314</v>
      </c>
    </row>
    <row r="240" spans="1:1" x14ac:dyDescent="0.35">
      <c r="A240" t="s">
        <v>315</v>
      </c>
    </row>
    <row r="241" spans="1:1" x14ac:dyDescent="0.35">
      <c r="A241" t="s">
        <v>316</v>
      </c>
    </row>
    <row r="242" spans="1:1" x14ac:dyDescent="0.35">
      <c r="A242" t="s">
        <v>317</v>
      </c>
    </row>
    <row r="243" spans="1:1" x14ac:dyDescent="0.35">
      <c r="A243" t="s">
        <v>318</v>
      </c>
    </row>
    <row r="244" spans="1:1" x14ac:dyDescent="0.35">
      <c r="A244" t="s">
        <v>319</v>
      </c>
    </row>
    <row r="245" spans="1:1" x14ac:dyDescent="0.35">
      <c r="A245" t="s">
        <v>320</v>
      </c>
    </row>
    <row r="246" spans="1:1" x14ac:dyDescent="0.35">
      <c r="A246" t="s">
        <v>321</v>
      </c>
    </row>
    <row r="247" spans="1:1" x14ac:dyDescent="0.35">
      <c r="A247" t="s">
        <v>322</v>
      </c>
    </row>
    <row r="248" spans="1:1" x14ac:dyDescent="0.35">
      <c r="A248" t="s">
        <v>323</v>
      </c>
    </row>
    <row r="249" spans="1:1" x14ac:dyDescent="0.35">
      <c r="A249" t="s">
        <v>324</v>
      </c>
    </row>
    <row r="250" spans="1:1" x14ac:dyDescent="0.35">
      <c r="A250" t="s">
        <v>325</v>
      </c>
    </row>
    <row r="251" spans="1:1" x14ac:dyDescent="0.35">
      <c r="A251" t="s">
        <v>326</v>
      </c>
    </row>
    <row r="252" spans="1:1" x14ac:dyDescent="0.35">
      <c r="A252" t="s">
        <v>327</v>
      </c>
    </row>
    <row r="253" spans="1:1" x14ac:dyDescent="0.35">
      <c r="A253" t="s">
        <v>328</v>
      </c>
    </row>
    <row r="254" spans="1:1" x14ac:dyDescent="0.35">
      <c r="A254" t="s">
        <v>329</v>
      </c>
    </row>
    <row r="255" spans="1:1" x14ac:dyDescent="0.35">
      <c r="A255" t="s">
        <v>330</v>
      </c>
    </row>
    <row r="256" spans="1:1" x14ac:dyDescent="0.35">
      <c r="A256" t="s">
        <v>331</v>
      </c>
    </row>
    <row r="257" spans="1:1" x14ac:dyDescent="0.35">
      <c r="A257" t="s">
        <v>332</v>
      </c>
    </row>
    <row r="258" spans="1:1" x14ac:dyDescent="0.35">
      <c r="A258" t="s">
        <v>333</v>
      </c>
    </row>
    <row r="259" spans="1:1" x14ac:dyDescent="0.35">
      <c r="A259" t="s">
        <v>334</v>
      </c>
    </row>
    <row r="260" spans="1:1" x14ac:dyDescent="0.35">
      <c r="A260" t="s">
        <v>335</v>
      </c>
    </row>
    <row r="261" spans="1:1" x14ac:dyDescent="0.35">
      <c r="A261" t="s">
        <v>336</v>
      </c>
    </row>
    <row r="262" spans="1:1" x14ac:dyDescent="0.35">
      <c r="A262" t="s">
        <v>337</v>
      </c>
    </row>
    <row r="263" spans="1:1" x14ac:dyDescent="0.35">
      <c r="A263" t="s">
        <v>338</v>
      </c>
    </row>
    <row r="264" spans="1:1" x14ac:dyDescent="0.35">
      <c r="A264" t="s">
        <v>339</v>
      </c>
    </row>
    <row r="265" spans="1:1" x14ac:dyDescent="0.35">
      <c r="A265" t="s">
        <v>340</v>
      </c>
    </row>
    <row r="266" spans="1:1" x14ac:dyDescent="0.35">
      <c r="A266" t="s">
        <v>341</v>
      </c>
    </row>
    <row r="267" spans="1:1" x14ac:dyDescent="0.35">
      <c r="A267" t="s">
        <v>342</v>
      </c>
    </row>
    <row r="268" spans="1:1" x14ac:dyDescent="0.35">
      <c r="A268" t="s">
        <v>343</v>
      </c>
    </row>
    <row r="269" spans="1:1" x14ac:dyDescent="0.35">
      <c r="A269" t="s">
        <v>344</v>
      </c>
    </row>
    <row r="270" spans="1:1" x14ac:dyDescent="0.35">
      <c r="A270" t="s">
        <v>345</v>
      </c>
    </row>
    <row r="271" spans="1:1" x14ac:dyDescent="0.35">
      <c r="A271" t="s">
        <v>346</v>
      </c>
    </row>
    <row r="272" spans="1:1" x14ac:dyDescent="0.35">
      <c r="A272" t="s">
        <v>347</v>
      </c>
    </row>
    <row r="273" spans="1:1" x14ac:dyDescent="0.35">
      <c r="A273" t="s">
        <v>348</v>
      </c>
    </row>
    <row r="274" spans="1:1" x14ac:dyDescent="0.35">
      <c r="A274" t="s">
        <v>349</v>
      </c>
    </row>
    <row r="275" spans="1:1" x14ac:dyDescent="0.35">
      <c r="A275" t="s">
        <v>350</v>
      </c>
    </row>
    <row r="276" spans="1:1" x14ac:dyDescent="0.35">
      <c r="A276" t="s">
        <v>351</v>
      </c>
    </row>
    <row r="277" spans="1:1" x14ac:dyDescent="0.35">
      <c r="A277" t="s">
        <v>352</v>
      </c>
    </row>
    <row r="278" spans="1:1" x14ac:dyDescent="0.35">
      <c r="A278" t="s">
        <v>353</v>
      </c>
    </row>
    <row r="279" spans="1:1" x14ac:dyDescent="0.35">
      <c r="A279" t="s">
        <v>354</v>
      </c>
    </row>
    <row r="280" spans="1:1" x14ac:dyDescent="0.35">
      <c r="A280" t="s">
        <v>355</v>
      </c>
    </row>
    <row r="281" spans="1:1" x14ac:dyDescent="0.35">
      <c r="A281" t="s">
        <v>356</v>
      </c>
    </row>
    <row r="282" spans="1:1" x14ac:dyDescent="0.35">
      <c r="A282" t="s">
        <v>357</v>
      </c>
    </row>
    <row r="283" spans="1:1" x14ac:dyDescent="0.35">
      <c r="A283" t="s">
        <v>358</v>
      </c>
    </row>
    <row r="284" spans="1:1" x14ac:dyDescent="0.35">
      <c r="A284" t="s">
        <v>359</v>
      </c>
    </row>
    <row r="285" spans="1:1" x14ac:dyDescent="0.35">
      <c r="A285" t="s">
        <v>360</v>
      </c>
    </row>
    <row r="286" spans="1:1" x14ac:dyDescent="0.35">
      <c r="A286" t="s">
        <v>361</v>
      </c>
    </row>
    <row r="287" spans="1:1" x14ac:dyDescent="0.35">
      <c r="A287" t="s">
        <v>362</v>
      </c>
    </row>
    <row r="288" spans="1:1" x14ac:dyDescent="0.35">
      <c r="A288" t="s">
        <v>363</v>
      </c>
    </row>
    <row r="289" spans="1:1" x14ac:dyDescent="0.35">
      <c r="A289" t="s">
        <v>364</v>
      </c>
    </row>
    <row r="290" spans="1:1" x14ac:dyDescent="0.35">
      <c r="A290" t="s">
        <v>365</v>
      </c>
    </row>
    <row r="291" spans="1:1" x14ac:dyDescent="0.35">
      <c r="A291" t="s">
        <v>366</v>
      </c>
    </row>
    <row r="292" spans="1:1" x14ac:dyDescent="0.35">
      <c r="A292" t="s">
        <v>367</v>
      </c>
    </row>
    <row r="293" spans="1:1" x14ac:dyDescent="0.35">
      <c r="A293" t="s">
        <v>368</v>
      </c>
    </row>
    <row r="294" spans="1:1" x14ac:dyDescent="0.35">
      <c r="A294" t="s">
        <v>369</v>
      </c>
    </row>
    <row r="295" spans="1:1" x14ac:dyDescent="0.35">
      <c r="A295" t="s">
        <v>370</v>
      </c>
    </row>
    <row r="296" spans="1:1" x14ac:dyDescent="0.35">
      <c r="A296" t="s">
        <v>371</v>
      </c>
    </row>
    <row r="297" spans="1:1" x14ac:dyDescent="0.35">
      <c r="A297" t="s">
        <v>372</v>
      </c>
    </row>
    <row r="298" spans="1:1" x14ac:dyDescent="0.35">
      <c r="A298" t="s">
        <v>373</v>
      </c>
    </row>
    <row r="299" spans="1:1" x14ac:dyDescent="0.35">
      <c r="A299" t="s">
        <v>374</v>
      </c>
    </row>
    <row r="300" spans="1:1" x14ac:dyDescent="0.35">
      <c r="A300" t="s">
        <v>375</v>
      </c>
    </row>
    <row r="301" spans="1:1" x14ac:dyDescent="0.35">
      <c r="A301" t="s">
        <v>376</v>
      </c>
    </row>
    <row r="302" spans="1:1" x14ac:dyDescent="0.35">
      <c r="A302" t="s">
        <v>377</v>
      </c>
    </row>
    <row r="303" spans="1:1" x14ac:dyDescent="0.35">
      <c r="A303" t="s">
        <v>378</v>
      </c>
    </row>
    <row r="304" spans="1:1" x14ac:dyDescent="0.35">
      <c r="A304" t="s">
        <v>379</v>
      </c>
    </row>
    <row r="305" spans="1:1" x14ac:dyDescent="0.35">
      <c r="A305" t="s">
        <v>380</v>
      </c>
    </row>
    <row r="306" spans="1:1" x14ac:dyDescent="0.35">
      <c r="A306" t="s">
        <v>381</v>
      </c>
    </row>
    <row r="307" spans="1:1" x14ac:dyDescent="0.35">
      <c r="A307" t="s">
        <v>382</v>
      </c>
    </row>
    <row r="308" spans="1:1" x14ac:dyDescent="0.35">
      <c r="A308" t="s">
        <v>383</v>
      </c>
    </row>
    <row r="309" spans="1:1" x14ac:dyDescent="0.35">
      <c r="A309" t="s">
        <v>384</v>
      </c>
    </row>
    <row r="310" spans="1:1" x14ac:dyDescent="0.35">
      <c r="A310" t="s">
        <v>385</v>
      </c>
    </row>
    <row r="311" spans="1:1" x14ac:dyDescent="0.35">
      <c r="A311" t="s">
        <v>386</v>
      </c>
    </row>
    <row r="312" spans="1:1" x14ac:dyDescent="0.35">
      <c r="A312" t="s">
        <v>387</v>
      </c>
    </row>
    <row r="313" spans="1:1" x14ac:dyDescent="0.35">
      <c r="A313" t="s">
        <v>388</v>
      </c>
    </row>
    <row r="314" spans="1:1" x14ac:dyDescent="0.35">
      <c r="A314" t="s">
        <v>389</v>
      </c>
    </row>
    <row r="315" spans="1:1" x14ac:dyDescent="0.35">
      <c r="A315" t="s">
        <v>390</v>
      </c>
    </row>
    <row r="316" spans="1:1" x14ac:dyDescent="0.35">
      <c r="A316" t="s">
        <v>391</v>
      </c>
    </row>
    <row r="317" spans="1:1" x14ac:dyDescent="0.35">
      <c r="A317" t="s">
        <v>392</v>
      </c>
    </row>
    <row r="318" spans="1:1" x14ac:dyDescent="0.35">
      <c r="A318" t="s">
        <v>393</v>
      </c>
    </row>
    <row r="319" spans="1:1" x14ac:dyDescent="0.35">
      <c r="A319" t="s">
        <v>394</v>
      </c>
    </row>
    <row r="320" spans="1:1" x14ac:dyDescent="0.35">
      <c r="A320" t="s">
        <v>395</v>
      </c>
    </row>
    <row r="321" spans="1:1" x14ac:dyDescent="0.35">
      <c r="A321" t="s">
        <v>396</v>
      </c>
    </row>
    <row r="322" spans="1:1" x14ac:dyDescent="0.35">
      <c r="A322" t="s">
        <v>397</v>
      </c>
    </row>
    <row r="323" spans="1:1" x14ac:dyDescent="0.35">
      <c r="A323" t="s">
        <v>398</v>
      </c>
    </row>
    <row r="324" spans="1:1" x14ac:dyDescent="0.35">
      <c r="A324" t="s">
        <v>399</v>
      </c>
    </row>
    <row r="325" spans="1:1" x14ac:dyDescent="0.35">
      <c r="A325" t="s">
        <v>400</v>
      </c>
    </row>
    <row r="326" spans="1:1" x14ac:dyDescent="0.35">
      <c r="A326" t="s">
        <v>401</v>
      </c>
    </row>
    <row r="327" spans="1:1" x14ac:dyDescent="0.35">
      <c r="A327" t="s">
        <v>402</v>
      </c>
    </row>
    <row r="328" spans="1:1" x14ac:dyDescent="0.35">
      <c r="A328" t="s">
        <v>403</v>
      </c>
    </row>
    <row r="329" spans="1:1" x14ac:dyDescent="0.35">
      <c r="A329" t="s">
        <v>404</v>
      </c>
    </row>
    <row r="330" spans="1:1" x14ac:dyDescent="0.35">
      <c r="A330" t="s">
        <v>405</v>
      </c>
    </row>
    <row r="331" spans="1:1" x14ac:dyDescent="0.35">
      <c r="A331" t="s">
        <v>406</v>
      </c>
    </row>
    <row r="332" spans="1:1" x14ac:dyDescent="0.35">
      <c r="A332" t="s">
        <v>407</v>
      </c>
    </row>
    <row r="333" spans="1:1" x14ac:dyDescent="0.35">
      <c r="A333" t="s">
        <v>408</v>
      </c>
    </row>
    <row r="334" spans="1:1" x14ac:dyDescent="0.35">
      <c r="A334" t="s">
        <v>409</v>
      </c>
    </row>
    <row r="335" spans="1:1" x14ac:dyDescent="0.35">
      <c r="A335" t="s">
        <v>410</v>
      </c>
    </row>
    <row r="336" spans="1:1" x14ac:dyDescent="0.35">
      <c r="A336" t="s">
        <v>411</v>
      </c>
    </row>
    <row r="337" spans="1:1" x14ac:dyDescent="0.35">
      <c r="A337" t="s">
        <v>412</v>
      </c>
    </row>
    <row r="338" spans="1:1" x14ac:dyDescent="0.35">
      <c r="A338" t="s">
        <v>413</v>
      </c>
    </row>
    <row r="339" spans="1:1" x14ac:dyDescent="0.35">
      <c r="A339" t="s">
        <v>414</v>
      </c>
    </row>
    <row r="340" spans="1:1" x14ac:dyDescent="0.35">
      <c r="A340" t="s">
        <v>415</v>
      </c>
    </row>
    <row r="341" spans="1:1" x14ac:dyDescent="0.35">
      <c r="A341" t="s">
        <v>416</v>
      </c>
    </row>
    <row r="342" spans="1:1" x14ac:dyDescent="0.35">
      <c r="A342" t="s">
        <v>417</v>
      </c>
    </row>
    <row r="343" spans="1:1" x14ac:dyDescent="0.35">
      <c r="A343" t="s">
        <v>418</v>
      </c>
    </row>
    <row r="344" spans="1:1" x14ac:dyDescent="0.35">
      <c r="A344" t="s">
        <v>419</v>
      </c>
    </row>
    <row r="345" spans="1:1" x14ac:dyDescent="0.35">
      <c r="A345" t="s">
        <v>420</v>
      </c>
    </row>
    <row r="346" spans="1:1" x14ac:dyDescent="0.35">
      <c r="A346" t="s">
        <v>421</v>
      </c>
    </row>
    <row r="347" spans="1:1" x14ac:dyDescent="0.35">
      <c r="A347" t="s">
        <v>422</v>
      </c>
    </row>
    <row r="348" spans="1:1" x14ac:dyDescent="0.35">
      <c r="A348" t="s">
        <v>423</v>
      </c>
    </row>
    <row r="349" spans="1:1" x14ac:dyDescent="0.35">
      <c r="A349" t="s">
        <v>424</v>
      </c>
    </row>
    <row r="350" spans="1:1" x14ac:dyDescent="0.35">
      <c r="A350" t="s">
        <v>425</v>
      </c>
    </row>
    <row r="351" spans="1:1" x14ac:dyDescent="0.35">
      <c r="A351" t="s">
        <v>426</v>
      </c>
    </row>
    <row r="352" spans="1:1" x14ac:dyDescent="0.35">
      <c r="A352" t="s">
        <v>427</v>
      </c>
    </row>
    <row r="353" spans="1:1" x14ac:dyDescent="0.35">
      <c r="A353" t="s">
        <v>428</v>
      </c>
    </row>
    <row r="354" spans="1:1" x14ac:dyDescent="0.35">
      <c r="A354" t="s">
        <v>429</v>
      </c>
    </row>
    <row r="355" spans="1:1" x14ac:dyDescent="0.35">
      <c r="A355" t="s">
        <v>430</v>
      </c>
    </row>
    <row r="356" spans="1:1" x14ac:dyDescent="0.35">
      <c r="A356" t="s">
        <v>431</v>
      </c>
    </row>
    <row r="357" spans="1:1" x14ac:dyDescent="0.35">
      <c r="A357" t="s">
        <v>432</v>
      </c>
    </row>
    <row r="358" spans="1:1" x14ac:dyDescent="0.35">
      <c r="A358" t="s">
        <v>433</v>
      </c>
    </row>
    <row r="359" spans="1:1" x14ac:dyDescent="0.35">
      <c r="A359" t="s">
        <v>434</v>
      </c>
    </row>
    <row r="360" spans="1:1" x14ac:dyDescent="0.35">
      <c r="A360" t="s">
        <v>435</v>
      </c>
    </row>
    <row r="361" spans="1:1" x14ac:dyDescent="0.35">
      <c r="A361" t="s">
        <v>436</v>
      </c>
    </row>
    <row r="362" spans="1:1" x14ac:dyDescent="0.35">
      <c r="A362" t="s">
        <v>437</v>
      </c>
    </row>
    <row r="363" spans="1:1" x14ac:dyDescent="0.35">
      <c r="A363" t="s">
        <v>438</v>
      </c>
    </row>
    <row r="364" spans="1:1" x14ac:dyDescent="0.35">
      <c r="A364" t="s">
        <v>439</v>
      </c>
    </row>
    <row r="365" spans="1:1" x14ac:dyDescent="0.35">
      <c r="A365" t="s">
        <v>440</v>
      </c>
    </row>
    <row r="366" spans="1:1" x14ac:dyDescent="0.35">
      <c r="A366" t="s">
        <v>441</v>
      </c>
    </row>
    <row r="367" spans="1:1" x14ac:dyDescent="0.35">
      <c r="A367" t="s">
        <v>442</v>
      </c>
    </row>
    <row r="368" spans="1:1" x14ac:dyDescent="0.35">
      <c r="A368" t="s">
        <v>443</v>
      </c>
    </row>
    <row r="369" spans="1:1" x14ac:dyDescent="0.35">
      <c r="A369" t="s">
        <v>444</v>
      </c>
    </row>
    <row r="370" spans="1:1" x14ac:dyDescent="0.35">
      <c r="A370" t="s">
        <v>445</v>
      </c>
    </row>
    <row r="371" spans="1:1" x14ac:dyDescent="0.35">
      <c r="A371" t="s">
        <v>446</v>
      </c>
    </row>
    <row r="372" spans="1:1" x14ac:dyDescent="0.35">
      <c r="A372" t="s">
        <v>447</v>
      </c>
    </row>
    <row r="373" spans="1:1" x14ac:dyDescent="0.35">
      <c r="A373" t="s">
        <v>448</v>
      </c>
    </row>
    <row r="374" spans="1:1" x14ac:dyDescent="0.35">
      <c r="A374" t="s">
        <v>449</v>
      </c>
    </row>
    <row r="375" spans="1:1" x14ac:dyDescent="0.35">
      <c r="A375" t="s">
        <v>450</v>
      </c>
    </row>
    <row r="376" spans="1:1" x14ac:dyDescent="0.35">
      <c r="A376" t="s">
        <v>451</v>
      </c>
    </row>
    <row r="377" spans="1:1" x14ac:dyDescent="0.35">
      <c r="A377" t="s">
        <v>452</v>
      </c>
    </row>
    <row r="378" spans="1:1" x14ac:dyDescent="0.35">
      <c r="A378" t="s">
        <v>453</v>
      </c>
    </row>
    <row r="379" spans="1:1" x14ac:dyDescent="0.35">
      <c r="A379" t="s">
        <v>454</v>
      </c>
    </row>
    <row r="380" spans="1:1" x14ac:dyDescent="0.35">
      <c r="A380" t="s">
        <v>455</v>
      </c>
    </row>
    <row r="381" spans="1:1" x14ac:dyDescent="0.35">
      <c r="A381" t="s">
        <v>456</v>
      </c>
    </row>
    <row r="382" spans="1:1" x14ac:dyDescent="0.35">
      <c r="A382" t="s">
        <v>457</v>
      </c>
    </row>
    <row r="383" spans="1:1" x14ac:dyDescent="0.35">
      <c r="A383" t="s">
        <v>458</v>
      </c>
    </row>
    <row r="384" spans="1:1" x14ac:dyDescent="0.35">
      <c r="A384" t="s">
        <v>459</v>
      </c>
    </row>
    <row r="385" spans="1:1" x14ac:dyDescent="0.35">
      <c r="A385" t="s">
        <v>460</v>
      </c>
    </row>
    <row r="386" spans="1:1" x14ac:dyDescent="0.35">
      <c r="A386" t="s">
        <v>461</v>
      </c>
    </row>
    <row r="387" spans="1:1" x14ac:dyDescent="0.35">
      <c r="A387" t="s">
        <v>462</v>
      </c>
    </row>
    <row r="388" spans="1:1" x14ac:dyDescent="0.35">
      <c r="A388" t="s">
        <v>463</v>
      </c>
    </row>
    <row r="389" spans="1:1" x14ac:dyDescent="0.35">
      <c r="A389" t="s">
        <v>464</v>
      </c>
    </row>
    <row r="390" spans="1:1" x14ac:dyDescent="0.35">
      <c r="A390" t="s">
        <v>465</v>
      </c>
    </row>
    <row r="391" spans="1:1" x14ac:dyDescent="0.35">
      <c r="A391" t="s">
        <v>466</v>
      </c>
    </row>
    <row r="392" spans="1:1" x14ac:dyDescent="0.35">
      <c r="A392" t="s">
        <v>467</v>
      </c>
    </row>
    <row r="393" spans="1:1" x14ac:dyDescent="0.35">
      <c r="A393" t="s">
        <v>468</v>
      </c>
    </row>
    <row r="394" spans="1:1" x14ac:dyDescent="0.35">
      <c r="A394" t="s">
        <v>469</v>
      </c>
    </row>
    <row r="395" spans="1:1" x14ac:dyDescent="0.35">
      <c r="A395" t="s">
        <v>470</v>
      </c>
    </row>
    <row r="396" spans="1:1" x14ac:dyDescent="0.35">
      <c r="A396" t="s">
        <v>471</v>
      </c>
    </row>
    <row r="397" spans="1:1" x14ac:dyDescent="0.35">
      <c r="A397" t="s">
        <v>472</v>
      </c>
    </row>
    <row r="398" spans="1:1" x14ac:dyDescent="0.35">
      <c r="A398" t="s">
        <v>473</v>
      </c>
    </row>
    <row r="399" spans="1:1" x14ac:dyDescent="0.35">
      <c r="A399" t="s">
        <v>474</v>
      </c>
    </row>
    <row r="400" spans="1:1" x14ac:dyDescent="0.35">
      <c r="A400" t="s">
        <v>475</v>
      </c>
    </row>
    <row r="401" spans="1:1" x14ac:dyDescent="0.35">
      <c r="A401" t="s">
        <v>476</v>
      </c>
    </row>
    <row r="402" spans="1:1" x14ac:dyDescent="0.35">
      <c r="A402" t="s">
        <v>477</v>
      </c>
    </row>
    <row r="403" spans="1:1" x14ac:dyDescent="0.35">
      <c r="A403" t="s">
        <v>478</v>
      </c>
    </row>
    <row r="404" spans="1:1" x14ac:dyDescent="0.35">
      <c r="A404" t="s">
        <v>479</v>
      </c>
    </row>
    <row r="405" spans="1:1" x14ac:dyDescent="0.35">
      <c r="A405" t="s">
        <v>480</v>
      </c>
    </row>
    <row r="406" spans="1:1" x14ac:dyDescent="0.35">
      <c r="A406" t="s">
        <v>481</v>
      </c>
    </row>
    <row r="407" spans="1:1" x14ac:dyDescent="0.35">
      <c r="A407" t="s">
        <v>482</v>
      </c>
    </row>
    <row r="408" spans="1:1" x14ac:dyDescent="0.35">
      <c r="A408" t="s">
        <v>483</v>
      </c>
    </row>
    <row r="409" spans="1:1" x14ac:dyDescent="0.35">
      <c r="A409" t="s">
        <v>484</v>
      </c>
    </row>
    <row r="410" spans="1:1" x14ac:dyDescent="0.35">
      <c r="A410" t="s">
        <v>485</v>
      </c>
    </row>
    <row r="411" spans="1:1" x14ac:dyDescent="0.35">
      <c r="A411" t="s">
        <v>486</v>
      </c>
    </row>
    <row r="412" spans="1:1" x14ac:dyDescent="0.35">
      <c r="A412" t="s">
        <v>487</v>
      </c>
    </row>
    <row r="413" spans="1:1" x14ac:dyDescent="0.35">
      <c r="A413" t="s">
        <v>488</v>
      </c>
    </row>
    <row r="414" spans="1:1" x14ac:dyDescent="0.35">
      <c r="A414" t="s">
        <v>489</v>
      </c>
    </row>
    <row r="415" spans="1:1" x14ac:dyDescent="0.35">
      <c r="A415" t="s">
        <v>490</v>
      </c>
    </row>
    <row r="416" spans="1:1" x14ac:dyDescent="0.35">
      <c r="A416" t="s">
        <v>491</v>
      </c>
    </row>
    <row r="417" spans="1:1" x14ac:dyDescent="0.35">
      <c r="A417" t="s">
        <v>492</v>
      </c>
    </row>
    <row r="418" spans="1:1" x14ac:dyDescent="0.35">
      <c r="A418" t="s">
        <v>493</v>
      </c>
    </row>
    <row r="419" spans="1:1" x14ac:dyDescent="0.35">
      <c r="A419" t="s">
        <v>494</v>
      </c>
    </row>
    <row r="420" spans="1:1" x14ac:dyDescent="0.35">
      <c r="A420" t="s">
        <v>495</v>
      </c>
    </row>
    <row r="421" spans="1:1" x14ac:dyDescent="0.35">
      <c r="A421" t="s">
        <v>496</v>
      </c>
    </row>
    <row r="422" spans="1:1" x14ac:dyDescent="0.35">
      <c r="A422" t="s">
        <v>497</v>
      </c>
    </row>
    <row r="423" spans="1:1" x14ac:dyDescent="0.35">
      <c r="A423" t="s">
        <v>498</v>
      </c>
    </row>
    <row r="424" spans="1:1" x14ac:dyDescent="0.35">
      <c r="A424" t="s">
        <v>499</v>
      </c>
    </row>
    <row r="425" spans="1:1" x14ac:dyDescent="0.35">
      <c r="A425" t="s">
        <v>500</v>
      </c>
    </row>
    <row r="426" spans="1:1" x14ac:dyDescent="0.35">
      <c r="A426" t="s">
        <v>501</v>
      </c>
    </row>
    <row r="427" spans="1:1" x14ac:dyDescent="0.35">
      <c r="A427" t="s">
        <v>502</v>
      </c>
    </row>
    <row r="428" spans="1:1" x14ac:dyDescent="0.35">
      <c r="A428" t="s">
        <v>503</v>
      </c>
    </row>
    <row r="429" spans="1:1" x14ac:dyDescent="0.35">
      <c r="A429" t="s">
        <v>504</v>
      </c>
    </row>
    <row r="430" spans="1:1" x14ac:dyDescent="0.35">
      <c r="A430" t="s">
        <v>505</v>
      </c>
    </row>
    <row r="431" spans="1:1" x14ac:dyDescent="0.35">
      <c r="A431" t="s">
        <v>506</v>
      </c>
    </row>
    <row r="432" spans="1:1" x14ac:dyDescent="0.35">
      <c r="A432" t="s">
        <v>507</v>
      </c>
    </row>
    <row r="433" spans="1:1" x14ac:dyDescent="0.35">
      <c r="A433" t="s">
        <v>508</v>
      </c>
    </row>
    <row r="434" spans="1:1" x14ac:dyDescent="0.35">
      <c r="A434" t="s">
        <v>509</v>
      </c>
    </row>
    <row r="435" spans="1:1" x14ac:dyDescent="0.35">
      <c r="A435" t="s">
        <v>510</v>
      </c>
    </row>
    <row r="436" spans="1:1" x14ac:dyDescent="0.35">
      <c r="A436" t="s">
        <v>511</v>
      </c>
    </row>
    <row r="437" spans="1:1" x14ac:dyDescent="0.35">
      <c r="A437" t="s">
        <v>512</v>
      </c>
    </row>
    <row r="438" spans="1:1" x14ac:dyDescent="0.35">
      <c r="A438" t="s">
        <v>513</v>
      </c>
    </row>
    <row r="439" spans="1:1" x14ac:dyDescent="0.35">
      <c r="A439" t="s">
        <v>514</v>
      </c>
    </row>
    <row r="440" spans="1:1" x14ac:dyDescent="0.35">
      <c r="A440" t="s">
        <v>515</v>
      </c>
    </row>
    <row r="441" spans="1:1" x14ac:dyDescent="0.35">
      <c r="A441" t="s">
        <v>516</v>
      </c>
    </row>
    <row r="442" spans="1:1" x14ac:dyDescent="0.35">
      <c r="A442" t="s">
        <v>517</v>
      </c>
    </row>
    <row r="443" spans="1:1" x14ac:dyDescent="0.35">
      <c r="A443" t="s">
        <v>518</v>
      </c>
    </row>
    <row r="444" spans="1:1" x14ac:dyDescent="0.35">
      <c r="A444" t="s">
        <v>519</v>
      </c>
    </row>
    <row r="445" spans="1:1" x14ac:dyDescent="0.35">
      <c r="A445" t="s">
        <v>520</v>
      </c>
    </row>
    <row r="446" spans="1:1" x14ac:dyDescent="0.35">
      <c r="A446" t="s">
        <v>521</v>
      </c>
    </row>
    <row r="447" spans="1:1" x14ac:dyDescent="0.35">
      <c r="A447" t="s">
        <v>522</v>
      </c>
    </row>
    <row r="448" spans="1:1" x14ac:dyDescent="0.35">
      <c r="A448" t="s">
        <v>523</v>
      </c>
    </row>
    <row r="449" spans="1:1" x14ac:dyDescent="0.35">
      <c r="A449" t="s">
        <v>524</v>
      </c>
    </row>
    <row r="450" spans="1:1" x14ac:dyDescent="0.35">
      <c r="A450" t="s">
        <v>525</v>
      </c>
    </row>
    <row r="451" spans="1:1" x14ac:dyDescent="0.35">
      <c r="A451" t="s">
        <v>526</v>
      </c>
    </row>
    <row r="452" spans="1:1" x14ac:dyDescent="0.35">
      <c r="A452" t="s">
        <v>527</v>
      </c>
    </row>
    <row r="453" spans="1:1" x14ac:dyDescent="0.35">
      <c r="A453" t="s">
        <v>528</v>
      </c>
    </row>
    <row r="454" spans="1:1" x14ac:dyDescent="0.35">
      <c r="A454" t="s">
        <v>529</v>
      </c>
    </row>
    <row r="455" spans="1:1" x14ac:dyDescent="0.35">
      <c r="A455" t="s">
        <v>530</v>
      </c>
    </row>
    <row r="456" spans="1:1" x14ac:dyDescent="0.35">
      <c r="A456" t="s">
        <v>531</v>
      </c>
    </row>
    <row r="457" spans="1:1" x14ac:dyDescent="0.35">
      <c r="A457" t="s">
        <v>532</v>
      </c>
    </row>
    <row r="458" spans="1:1" x14ac:dyDescent="0.35">
      <c r="A458" t="s">
        <v>533</v>
      </c>
    </row>
    <row r="459" spans="1:1" x14ac:dyDescent="0.35">
      <c r="A459" t="s">
        <v>534</v>
      </c>
    </row>
    <row r="460" spans="1:1" x14ac:dyDescent="0.35">
      <c r="A460" t="s">
        <v>535</v>
      </c>
    </row>
    <row r="461" spans="1:1" x14ac:dyDescent="0.35">
      <c r="A461" t="s">
        <v>536</v>
      </c>
    </row>
    <row r="462" spans="1:1" x14ac:dyDescent="0.35">
      <c r="A462" t="s">
        <v>537</v>
      </c>
    </row>
    <row r="463" spans="1:1" x14ac:dyDescent="0.35">
      <c r="A463" t="s">
        <v>538</v>
      </c>
    </row>
    <row r="464" spans="1:1" x14ac:dyDescent="0.35">
      <c r="A464" t="s">
        <v>539</v>
      </c>
    </row>
    <row r="465" spans="1:1" x14ac:dyDescent="0.35">
      <c r="A465" t="s">
        <v>540</v>
      </c>
    </row>
    <row r="466" spans="1:1" x14ac:dyDescent="0.35">
      <c r="A466" t="s">
        <v>541</v>
      </c>
    </row>
    <row r="467" spans="1:1" x14ac:dyDescent="0.35">
      <c r="A467" t="s">
        <v>542</v>
      </c>
    </row>
    <row r="468" spans="1:1" x14ac:dyDescent="0.35">
      <c r="A468" t="s">
        <v>543</v>
      </c>
    </row>
    <row r="469" spans="1:1" x14ac:dyDescent="0.35">
      <c r="A469" t="s">
        <v>544</v>
      </c>
    </row>
    <row r="470" spans="1:1" x14ac:dyDescent="0.35">
      <c r="A470" t="s">
        <v>545</v>
      </c>
    </row>
    <row r="471" spans="1:1" x14ac:dyDescent="0.35">
      <c r="A471" t="s">
        <v>546</v>
      </c>
    </row>
    <row r="472" spans="1:1" x14ac:dyDescent="0.35">
      <c r="A472" t="s">
        <v>547</v>
      </c>
    </row>
    <row r="473" spans="1:1" x14ac:dyDescent="0.35">
      <c r="A473" t="s">
        <v>548</v>
      </c>
    </row>
    <row r="474" spans="1:1" x14ac:dyDescent="0.35">
      <c r="A474" t="s">
        <v>549</v>
      </c>
    </row>
    <row r="475" spans="1:1" x14ac:dyDescent="0.35">
      <c r="A475" t="s">
        <v>550</v>
      </c>
    </row>
    <row r="476" spans="1:1" x14ac:dyDescent="0.35">
      <c r="A476" t="s">
        <v>551</v>
      </c>
    </row>
    <row r="477" spans="1:1" x14ac:dyDescent="0.35">
      <c r="A477" t="s">
        <v>552</v>
      </c>
    </row>
    <row r="478" spans="1:1" x14ac:dyDescent="0.35">
      <c r="A478" t="s">
        <v>553</v>
      </c>
    </row>
    <row r="479" spans="1:1" x14ac:dyDescent="0.35">
      <c r="A479" t="s">
        <v>554</v>
      </c>
    </row>
    <row r="480" spans="1:1" x14ac:dyDescent="0.35">
      <c r="A480" t="s">
        <v>555</v>
      </c>
    </row>
    <row r="481" spans="1:1" x14ac:dyDescent="0.35">
      <c r="A481" t="s">
        <v>556</v>
      </c>
    </row>
    <row r="482" spans="1:1" x14ac:dyDescent="0.35">
      <c r="A482" t="s">
        <v>557</v>
      </c>
    </row>
    <row r="483" spans="1:1" x14ac:dyDescent="0.35">
      <c r="A483" t="s">
        <v>558</v>
      </c>
    </row>
    <row r="484" spans="1:1" x14ac:dyDescent="0.35">
      <c r="A484" t="s">
        <v>559</v>
      </c>
    </row>
    <row r="485" spans="1:1" x14ac:dyDescent="0.35">
      <c r="A485" t="s">
        <v>560</v>
      </c>
    </row>
    <row r="486" spans="1:1" x14ac:dyDescent="0.35">
      <c r="A486" t="s">
        <v>561</v>
      </c>
    </row>
    <row r="487" spans="1:1" x14ac:dyDescent="0.35">
      <c r="A487" t="s">
        <v>562</v>
      </c>
    </row>
    <row r="488" spans="1:1" x14ac:dyDescent="0.35">
      <c r="A488" t="s">
        <v>563</v>
      </c>
    </row>
    <row r="489" spans="1:1" x14ac:dyDescent="0.35">
      <c r="A489" t="s">
        <v>564</v>
      </c>
    </row>
    <row r="490" spans="1:1" x14ac:dyDescent="0.35">
      <c r="A490" t="s">
        <v>565</v>
      </c>
    </row>
    <row r="491" spans="1:1" x14ac:dyDescent="0.35">
      <c r="A491" t="s">
        <v>566</v>
      </c>
    </row>
    <row r="492" spans="1:1" x14ac:dyDescent="0.35">
      <c r="A492" t="s">
        <v>567</v>
      </c>
    </row>
    <row r="493" spans="1:1" x14ac:dyDescent="0.35">
      <c r="A493" t="s">
        <v>568</v>
      </c>
    </row>
    <row r="494" spans="1:1" x14ac:dyDescent="0.35">
      <c r="A494" t="s">
        <v>569</v>
      </c>
    </row>
    <row r="495" spans="1:1" x14ac:dyDescent="0.35">
      <c r="A495" t="s">
        <v>570</v>
      </c>
    </row>
    <row r="496" spans="1:1" x14ac:dyDescent="0.35">
      <c r="A496" t="s">
        <v>571</v>
      </c>
    </row>
    <row r="497" spans="1:1" x14ac:dyDescent="0.35">
      <c r="A497" t="s">
        <v>572</v>
      </c>
    </row>
    <row r="498" spans="1:1" x14ac:dyDescent="0.35">
      <c r="A498" t="s">
        <v>573</v>
      </c>
    </row>
    <row r="499" spans="1:1" x14ac:dyDescent="0.35">
      <c r="A499" t="s">
        <v>574</v>
      </c>
    </row>
    <row r="500" spans="1:1" x14ac:dyDescent="0.35">
      <c r="A500" t="s">
        <v>575</v>
      </c>
    </row>
    <row r="501" spans="1:1" x14ac:dyDescent="0.35">
      <c r="A501" t="s">
        <v>576</v>
      </c>
    </row>
    <row r="502" spans="1:1" x14ac:dyDescent="0.35">
      <c r="A502" t="s">
        <v>577</v>
      </c>
    </row>
    <row r="503" spans="1:1" x14ac:dyDescent="0.35">
      <c r="A503" t="s">
        <v>578</v>
      </c>
    </row>
    <row r="504" spans="1:1" x14ac:dyDescent="0.35">
      <c r="A504" t="s">
        <v>579</v>
      </c>
    </row>
    <row r="505" spans="1:1" x14ac:dyDescent="0.35">
      <c r="A505" t="s">
        <v>580</v>
      </c>
    </row>
    <row r="506" spans="1:1" x14ac:dyDescent="0.35">
      <c r="A506" t="s">
        <v>581</v>
      </c>
    </row>
    <row r="507" spans="1:1" x14ac:dyDescent="0.35">
      <c r="A507" t="s">
        <v>582</v>
      </c>
    </row>
    <row r="508" spans="1:1" x14ac:dyDescent="0.35">
      <c r="A508" t="s">
        <v>583</v>
      </c>
    </row>
    <row r="509" spans="1:1" x14ac:dyDescent="0.35">
      <c r="A509" t="s">
        <v>584</v>
      </c>
    </row>
    <row r="510" spans="1:1" x14ac:dyDescent="0.35">
      <c r="A510" t="s">
        <v>585</v>
      </c>
    </row>
    <row r="511" spans="1:1" x14ac:dyDescent="0.35">
      <c r="A511" t="s">
        <v>586</v>
      </c>
    </row>
    <row r="512" spans="1:1" x14ac:dyDescent="0.35">
      <c r="A512" t="s">
        <v>587</v>
      </c>
    </row>
    <row r="513" spans="1:1" x14ac:dyDescent="0.35">
      <c r="A513" t="s">
        <v>588</v>
      </c>
    </row>
    <row r="514" spans="1:1" x14ac:dyDescent="0.35">
      <c r="A514" t="s">
        <v>589</v>
      </c>
    </row>
    <row r="515" spans="1:1" x14ac:dyDescent="0.35">
      <c r="A515" t="s">
        <v>590</v>
      </c>
    </row>
    <row r="516" spans="1:1" x14ac:dyDescent="0.35">
      <c r="A516" t="s">
        <v>591</v>
      </c>
    </row>
    <row r="517" spans="1:1" x14ac:dyDescent="0.35">
      <c r="A517" t="s">
        <v>592</v>
      </c>
    </row>
    <row r="518" spans="1:1" x14ac:dyDescent="0.35">
      <c r="A518" t="s">
        <v>593</v>
      </c>
    </row>
    <row r="519" spans="1:1" x14ac:dyDescent="0.35">
      <c r="A519" t="s">
        <v>594</v>
      </c>
    </row>
    <row r="520" spans="1:1" x14ac:dyDescent="0.35">
      <c r="A520" t="s">
        <v>595</v>
      </c>
    </row>
    <row r="521" spans="1:1" x14ac:dyDescent="0.35">
      <c r="A521" t="s">
        <v>596</v>
      </c>
    </row>
    <row r="522" spans="1:1" x14ac:dyDescent="0.35">
      <c r="A522" t="s">
        <v>597</v>
      </c>
    </row>
    <row r="523" spans="1:1" x14ac:dyDescent="0.35">
      <c r="A523" t="s">
        <v>598</v>
      </c>
    </row>
    <row r="524" spans="1:1" x14ac:dyDescent="0.35">
      <c r="A524" t="s">
        <v>599</v>
      </c>
    </row>
    <row r="525" spans="1:1" x14ac:dyDescent="0.35">
      <c r="A525" t="s">
        <v>600</v>
      </c>
    </row>
    <row r="526" spans="1:1" x14ac:dyDescent="0.35">
      <c r="A526" t="s">
        <v>601</v>
      </c>
    </row>
    <row r="527" spans="1:1" x14ac:dyDescent="0.35">
      <c r="A527" t="s">
        <v>602</v>
      </c>
    </row>
    <row r="528" spans="1:1" x14ac:dyDescent="0.35">
      <c r="A528" t="s">
        <v>603</v>
      </c>
    </row>
    <row r="529" spans="1:1" x14ac:dyDescent="0.35">
      <c r="A529" t="s">
        <v>604</v>
      </c>
    </row>
    <row r="530" spans="1:1" x14ac:dyDescent="0.35">
      <c r="A530" t="s">
        <v>605</v>
      </c>
    </row>
    <row r="531" spans="1:1" x14ac:dyDescent="0.35">
      <c r="A531" t="s">
        <v>606</v>
      </c>
    </row>
    <row r="532" spans="1:1" x14ac:dyDescent="0.35">
      <c r="A532" t="s">
        <v>607</v>
      </c>
    </row>
    <row r="533" spans="1:1" x14ac:dyDescent="0.35">
      <c r="A533" t="s">
        <v>608</v>
      </c>
    </row>
    <row r="534" spans="1:1" x14ac:dyDescent="0.35">
      <c r="A534" t="s">
        <v>609</v>
      </c>
    </row>
    <row r="535" spans="1:1" x14ac:dyDescent="0.35">
      <c r="A535" t="s">
        <v>610</v>
      </c>
    </row>
    <row r="536" spans="1:1" x14ac:dyDescent="0.35">
      <c r="A536" t="s">
        <v>611</v>
      </c>
    </row>
    <row r="537" spans="1:1" x14ac:dyDescent="0.35">
      <c r="A537" t="s">
        <v>612</v>
      </c>
    </row>
    <row r="538" spans="1:1" x14ac:dyDescent="0.35">
      <c r="A538" t="s">
        <v>613</v>
      </c>
    </row>
    <row r="539" spans="1:1" x14ac:dyDescent="0.35">
      <c r="A539" t="s">
        <v>614</v>
      </c>
    </row>
    <row r="540" spans="1:1" x14ac:dyDescent="0.35">
      <c r="A540" t="s">
        <v>615</v>
      </c>
    </row>
    <row r="541" spans="1:1" x14ac:dyDescent="0.35">
      <c r="A541" t="s">
        <v>616</v>
      </c>
    </row>
    <row r="542" spans="1:1" x14ac:dyDescent="0.35">
      <c r="A542" t="s">
        <v>617</v>
      </c>
    </row>
    <row r="543" spans="1:1" x14ac:dyDescent="0.35">
      <c r="A543" t="s">
        <v>618</v>
      </c>
    </row>
    <row r="544" spans="1:1" x14ac:dyDescent="0.35">
      <c r="A544" t="s">
        <v>619</v>
      </c>
    </row>
    <row r="545" spans="1:1" x14ac:dyDescent="0.35">
      <c r="A545" t="s">
        <v>620</v>
      </c>
    </row>
    <row r="546" spans="1:1" x14ac:dyDescent="0.35">
      <c r="A546" t="s">
        <v>621</v>
      </c>
    </row>
    <row r="547" spans="1:1" x14ac:dyDescent="0.35">
      <c r="A547" t="s">
        <v>622</v>
      </c>
    </row>
    <row r="548" spans="1:1" x14ac:dyDescent="0.35">
      <c r="A548" t="s">
        <v>623</v>
      </c>
    </row>
    <row r="549" spans="1:1" x14ac:dyDescent="0.35">
      <c r="A549" t="s">
        <v>624</v>
      </c>
    </row>
    <row r="550" spans="1:1" x14ac:dyDescent="0.35">
      <c r="A550" t="s">
        <v>625</v>
      </c>
    </row>
    <row r="551" spans="1:1" x14ac:dyDescent="0.35">
      <c r="A551" t="s">
        <v>626</v>
      </c>
    </row>
    <row r="552" spans="1:1" x14ac:dyDescent="0.35">
      <c r="A552" t="s">
        <v>627</v>
      </c>
    </row>
    <row r="553" spans="1:1" x14ac:dyDescent="0.35">
      <c r="A553" t="s">
        <v>628</v>
      </c>
    </row>
    <row r="554" spans="1:1" x14ac:dyDescent="0.35">
      <c r="A554" t="s">
        <v>629</v>
      </c>
    </row>
    <row r="555" spans="1:1" x14ac:dyDescent="0.35">
      <c r="A555" t="s">
        <v>630</v>
      </c>
    </row>
    <row r="556" spans="1:1" x14ac:dyDescent="0.35">
      <c r="A556" t="s">
        <v>631</v>
      </c>
    </row>
    <row r="557" spans="1:1" x14ac:dyDescent="0.35">
      <c r="A557" t="s">
        <v>632</v>
      </c>
    </row>
    <row r="558" spans="1:1" x14ac:dyDescent="0.35">
      <c r="A558" t="s">
        <v>633</v>
      </c>
    </row>
    <row r="559" spans="1:1" x14ac:dyDescent="0.35">
      <c r="A559" t="s">
        <v>634</v>
      </c>
    </row>
    <row r="560" spans="1:1" x14ac:dyDescent="0.35">
      <c r="A560" t="s">
        <v>635</v>
      </c>
    </row>
    <row r="561" spans="1:1" x14ac:dyDescent="0.35">
      <c r="A561" t="s">
        <v>636</v>
      </c>
    </row>
    <row r="562" spans="1:1" x14ac:dyDescent="0.35">
      <c r="A562" t="s">
        <v>637</v>
      </c>
    </row>
    <row r="563" spans="1:1" x14ac:dyDescent="0.35">
      <c r="A563" t="s">
        <v>638</v>
      </c>
    </row>
    <row r="564" spans="1:1" x14ac:dyDescent="0.35">
      <c r="A564" t="s">
        <v>639</v>
      </c>
    </row>
    <row r="565" spans="1:1" x14ac:dyDescent="0.35">
      <c r="A565" t="s">
        <v>640</v>
      </c>
    </row>
    <row r="566" spans="1:1" x14ac:dyDescent="0.35">
      <c r="A566" t="s">
        <v>641</v>
      </c>
    </row>
    <row r="567" spans="1:1" x14ac:dyDescent="0.35">
      <c r="A567" t="s">
        <v>642</v>
      </c>
    </row>
    <row r="568" spans="1:1" x14ac:dyDescent="0.35">
      <c r="A568" t="s">
        <v>643</v>
      </c>
    </row>
    <row r="569" spans="1:1" x14ac:dyDescent="0.35">
      <c r="A569" t="s">
        <v>644</v>
      </c>
    </row>
    <row r="570" spans="1:1" x14ac:dyDescent="0.35">
      <c r="A570" t="s">
        <v>645</v>
      </c>
    </row>
    <row r="571" spans="1:1" x14ac:dyDescent="0.35">
      <c r="A571" t="s">
        <v>646</v>
      </c>
    </row>
    <row r="572" spans="1:1" x14ac:dyDescent="0.35">
      <c r="A572" t="s">
        <v>647</v>
      </c>
    </row>
    <row r="573" spans="1:1" x14ac:dyDescent="0.35">
      <c r="A573" t="s">
        <v>648</v>
      </c>
    </row>
    <row r="574" spans="1:1" x14ac:dyDescent="0.35">
      <c r="A574" t="s">
        <v>649</v>
      </c>
    </row>
    <row r="575" spans="1:1" x14ac:dyDescent="0.35">
      <c r="A575" t="s">
        <v>650</v>
      </c>
    </row>
    <row r="576" spans="1:1" x14ac:dyDescent="0.35">
      <c r="A576" t="s">
        <v>651</v>
      </c>
    </row>
    <row r="577" spans="1:1" x14ac:dyDescent="0.35">
      <c r="A577" t="s">
        <v>652</v>
      </c>
    </row>
    <row r="578" spans="1:1" x14ac:dyDescent="0.35">
      <c r="A578" t="s">
        <v>653</v>
      </c>
    </row>
    <row r="579" spans="1:1" x14ac:dyDescent="0.35">
      <c r="A579" t="s">
        <v>654</v>
      </c>
    </row>
    <row r="580" spans="1:1" x14ac:dyDescent="0.35">
      <c r="A580" t="s">
        <v>655</v>
      </c>
    </row>
    <row r="581" spans="1:1" x14ac:dyDescent="0.35">
      <c r="A581" t="s">
        <v>656</v>
      </c>
    </row>
    <row r="582" spans="1:1" x14ac:dyDescent="0.35">
      <c r="A582" t="s">
        <v>657</v>
      </c>
    </row>
    <row r="583" spans="1:1" x14ac:dyDescent="0.35">
      <c r="A583" t="s">
        <v>658</v>
      </c>
    </row>
    <row r="584" spans="1:1" x14ac:dyDescent="0.35">
      <c r="A584" t="s">
        <v>659</v>
      </c>
    </row>
    <row r="585" spans="1:1" x14ac:dyDescent="0.35">
      <c r="A585" t="s">
        <v>660</v>
      </c>
    </row>
    <row r="586" spans="1:1" x14ac:dyDescent="0.35">
      <c r="A586" t="s">
        <v>661</v>
      </c>
    </row>
    <row r="587" spans="1:1" x14ac:dyDescent="0.35">
      <c r="A587" t="s">
        <v>662</v>
      </c>
    </row>
    <row r="588" spans="1:1" x14ac:dyDescent="0.35">
      <c r="A588" t="s">
        <v>663</v>
      </c>
    </row>
    <row r="589" spans="1:1" x14ac:dyDescent="0.35">
      <c r="A589" t="s">
        <v>664</v>
      </c>
    </row>
    <row r="590" spans="1:1" x14ac:dyDescent="0.35">
      <c r="A590" t="s">
        <v>665</v>
      </c>
    </row>
    <row r="591" spans="1:1" x14ac:dyDescent="0.35">
      <c r="A591" t="s">
        <v>666</v>
      </c>
    </row>
    <row r="592" spans="1:1" x14ac:dyDescent="0.35">
      <c r="A592" t="s">
        <v>667</v>
      </c>
    </row>
    <row r="593" spans="1:1" x14ac:dyDescent="0.35">
      <c r="A593" t="s">
        <v>668</v>
      </c>
    </row>
    <row r="594" spans="1:1" x14ac:dyDescent="0.35">
      <c r="A594" t="s">
        <v>669</v>
      </c>
    </row>
    <row r="595" spans="1:1" x14ac:dyDescent="0.35">
      <c r="A595" t="s">
        <v>670</v>
      </c>
    </row>
    <row r="596" spans="1:1" x14ac:dyDescent="0.35">
      <c r="A596" t="s">
        <v>671</v>
      </c>
    </row>
    <row r="597" spans="1:1" x14ac:dyDescent="0.35">
      <c r="A597" t="s">
        <v>672</v>
      </c>
    </row>
    <row r="598" spans="1:1" x14ac:dyDescent="0.35">
      <c r="A598" t="s">
        <v>673</v>
      </c>
    </row>
    <row r="599" spans="1:1" x14ac:dyDescent="0.35">
      <c r="A599" t="s">
        <v>674</v>
      </c>
    </row>
    <row r="600" spans="1:1" x14ac:dyDescent="0.35">
      <c r="A600" t="s">
        <v>675</v>
      </c>
    </row>
    <row r="601" spans="1:1" x14ac:dyDescent="0.35">
      <c r="A601" t="s">
        <v>676</v>
      </c>
    </row>
    <row r="602" spans="1:1" x14ac:dyDescent="0.35">
      <c r="A602" t="s">
        <v>677</v>
      </c>
    </row>
    <row r="603" spans="1:1" x14ac:dyDescent="0.35">
      <c r="A603" t="s">
        <v>678</v>
      </c>
    </row>
    <row r="604" spans="1:1" x14ac:dyDescent="0.35">
      <c r="A604" t="s">
        <v>679</v>
      </c>
    </row>
    <row r="605" spans="1:1" x14ac:dyDescent="0.35">
      <c r="A605" t="s">
        <v>680</v>
      </c>
    </row>
    <row r="606" spans="1:1" x14ac:dyDescent="0.35">
      <c r="A606" t="s">
        <v>681</v>
      </c>
    </row>
    <row r="607" spans="1:1" x14ac:dyDescent="0.35">
      <c r="A607" t="s">
        <v>682</v>
      </c>
    </row>
    <row r="608" spans="1:1" x14ac:dyDescent="0.35">
      <c r="A608" t="s">
        <v>683</v>
      </c>
    </row>
    <row r="609" spans="1:1" x14ac:dyDescent="0.35">
      <c r="A609" t="s">
        <v>684</v>
      </c>
    </row>
    <row r="610" spans="1:1" x14ac:dyDescent="0.35">
      <c r="A610" t="s">
        <v>685</v>
      </c>
    </row>
    <row r="611" spans="1:1" x14ac:dyDescent="0.35">
      <c r="A611" t="s">
        <v>686</v>
      </c>
    </row>
    <row r="612" spans="1:1" x14ac:dyDescent="0.35">
      <c r="A612" t="s">
        <v>687</v>
      </c>
    </row>
    <row r="613" spans="1:1" x14ac:dyDescent="0.35">
      <c r="A613" t="s">
        <v>688</v>
      </c>
    </row>
    <row r="614" spans="1:1" x14ac:dyDescent="0.35">
      <c r="A614" t="s">
        <v>689</v>
      </c>
    </row>
    <row r="615" spans="1:1" x14ac:dyDescent="0.35">
      <c r="A615" t="s">
        <v>690</v>
      </c>
    </row>
    <row r="616" spans="1:1" x14ac:dyDescent="0.35">
      <c r="A616" t="s">
        <v>691</v>
      </c>
    </row>
    <row r="617" spans="1:1" x14ac:dyDescent="0.35">
      <c r="A617" t="s">
        <v>692</v>
      </c>
    </row>
    <row r="618" spans="1:1" x14ac:dyDescent="0.35">
      <c r="A618" t="s">
        <v>693</v>
      </c>
    </row>
    <row r="619" spans="1:1" x14ac:dyDescent="0.35">
      <c r="A619" t="s">
        <v>694</v>
      </c>
    </row>
    <row r="620" spans="1:1" x14ac:dyDescent="0.35">
      <c r="A620" t="s">
        <v>695</v>
      </c>
    </row>
    <row r="621" spans="1:1" x14ac:dyDescent="0.35">
      <c r="A621" t="s">
        <v>696</v>
      </c>
    </row>
    <row r="622" spans="1:1" x14ac:dyDescent="0.35">
      <c r="A622" t="s">
        <v>697</v>
      </c>
    </row>
    <row r="623" spans="1:1" x14ac:dyDescent="0.35">
      <c r="A623" t="s">
        <v>698</v>
      </c>
    </row>
    <row r="624" spans="1:1" x14ac:dyDescent="0.35">
      <c r="A624" t="s">
        <v>699</v>
      </c>
    </row>
    <row r="625" spans="1:1" x14ac:dyDescent="0.35">
      <c r="A625" t="s">
        <v>700</v>
      </c>
    </row>
    <row r="626" spans="1:1" x14ac:dyDescent="0.35">
      <c r="A626" t="s">
        <v>701</v>
      </c>
    </row>
    <row r="627" spans="1:1" x14ac:dyDescent="0.35">
      <c r="A627" t="s">
        <v>702</v>
      </c>
    </row>
    <row r="628" spans="1:1" x14ac:dyDescent="0.35">
      <c r="A628" t="s">
        <v>703</v>
      </c>
    </row>
    <row r="629" spans="1:1" x14ac:dyDescent="0.35">
      <c r="A629" t="s">
        <v>704</v>
      </c>
    </row>
    <row r="630" spans="1:1" x14ac:dyDescent="0.35">
      <c r="A630" t="s">
        <v>705</v>
      </c>
    </row>
    <row r="631" spans="1:1" x14ac:dyDescent="0.35">
      <c r="A631" t="s">
        <v>706</v>
      </c>
    </row>
    <row r="632" spans="1:1" x14ac:dyDescent="0.35">
      <c r="A632" t="s">
        <v>707</v>
      </c>
    </row>
    <row r="633" spans="1:1" x14ac:dyDescent="0.35">
      <c r="A633" t="s">
        <v>708</v>
      </c>
    </row>
    <row r="634" spans="1:1" x14ac:dyDescent="0.35">
      <c r="A634" t="s">
        <v>709</v>
      </c>
    </row>
    <row r="635" spans="1:1" x14ac:dyDescent="0.35">
      <c r="A635" t="s">
        <v>710</v>
      </c>
    </row>
    <row r="636" spans="1:1" x14ac:dyDescent="0.35">
      <c r="A636" t="s">
        <v>711</v>
      </c>
    </row>
    <row r="637" spans="1:1" x14ac:dyDescent="0.35">
      <c r="A637" t="s">
        <v>712</v>
      </c>
    </row>
    <row r="638" spans="1:1" x14ac:dyDescent="0.35">
      <c r="A638" t="s">
        <v>713</v>
      </c>
    </row>
    <row r="639" spans="1:1" x14ac:dyDescent="0.35">
      <c r="A639" t="s">
        <v>714</v>
      </c>
    </row>
    <row r="640" spans="1:1" x14ac:dyDescent="0.35">
      <c r="A640" t="s">
        <v>715</v>
      </c>
    </row>
    <row r="641" spans="1:1" x14ac:dyDescent="0.35">
      <c r="A641" t="s">
        <v>716</v>
      </c>
    </row>
    <row r="642" spans="1:1" x14ac:dyDescent="0.35">
      <c r="A642" t="s">
        <v>717</v>
      </c>
    </row>
    <row r="643" spans="1:1" x14ac:dyDescent="0.35">
      <c r="A643" t="s">
        <v>718</v>
      </c>
    </row>
    <row r="644" spans="1:1" x14ac:dyDescent="0.35">
      <c r="A644" t="s">
        <v>719</v>
      </c>
    </row>
    <row r="645" spans="1:1" x14ac:dyDescent="0.35">
      <c r="A645" t="s">
        <v>720</v>
      </c>
    </row>
    <row r="646" spans="1:1" x14ac:dyDescent="0.35">
      <c r="A646" t="s">
        <v>721</v>
      </c>
    </row>
    <row r="647" spans="1:1" x14ac:dyDescent="0.35">
      <c r="A647" t="s">
        <v>722</v>
      </c>
    </row>
    <row r="648" spans="1:1" x14ac:dyDescent="0.35">
      <c r="A648" t="s">
        <v>723</v>
      </c>
    </row>
    <row r="649" spans="1:1" x14ac:dyDescent="0.35">
      <c r="A649" t="s">
        <v>724</v>
      </c>
    </row>
    <row r="650" spans="1:1" x14ac:dyDescent="0.35">
      <c r="A650" t="s">
        <v>725</v>
      </c>
    </row>
    <row r="651" spans="1:1" x14ac:dyDescent="0.35">
      <c r="A651" t="s">
        <v>726</v>
      </c>
    </row>
    <row r="652" spans="1:1" x14ac:dyDescent="0.35">
      <c r="A652" t="s">
        <v>727</v>
      </c>
    </row>
    <row r="653" spans="1:1" x14ac:dyDescent="0.35">
      <c r="A653" t="s">
        <v>728</v>
      </c>
    </row>
    <row r="654" spans="1:1" x14ac:dyDescent="0.35">
      <c r="A654" t="s">
        <v>729</v>
      </c>
    </row>
    <row r="655" spans="1:1" x14ac:dyDescent="0.35">
      <c r="A655" t="s">
        <v>730</v>
      </c>
    </row>
    <row r="656" spans="1:1" x14ac:dyDescent="0.35">
      <c r="A656" t="s">
        <v>731</v>
      </c>
    </row>
    <row r="657" spans="1:1" x14ac:dyDescent="0.35">
      <c r="A657" t="s">
        <v>732</v>
      </c>
    </row>
    <row r="658" spans="1:1" x14ac:dyDescent="0.35">
      <c r="A658" t="s">
        <v>733</v>
      </c>
    </row>
    <row r="659" spans="1:1" x14ac:dyDescent="0.35">
      <c r="A659" t="s">
        <v>734</v>
      </c>
    </row>
    <row r="660" spans="1:1" x14ac:dyDescent="0.35">
      <c r="A660" t="s">
        <v>735</v>
      </c>
    </row>
    <row r="661" spans="1:1" x14ac:dyDescent="0.35">
      <c r="A661" t="s">
        <v>736</v>
      </c>
    </row>
    <row r="662" spans="1:1" x14ac:dyDescent="0.35">
      <c r="A662" t="s">
        <v>737</v>
      </c>
    </row>
    <row r="663" spans="1:1" x14ac:dyDescent="0.35">
      <c r="A663" t="s">
        <v>738</v>
      </c>
    </row>
    <row r="664" spans="1:1" x14ac:dyDescent="0.35">
      <c r="A664" t="s">
        <v>739</v>
      </c>
    </row>
    <row r="665" spans="1:1" x14ac:dyDescent="0.35">
      <c r="A665" t="s">
        <v>740</v>
      </c>
    </row>
    <row r="666" spans="1:1" x14ac:dyDescent="0.35">
      <c r="A666" t="s">
        <v>741</v>
      </c>
    </row>
    <row r="667" spans="1:1" x14ac:dyDescent="0.35">
      <c r="A667" t="s">
        <v>742</v>
      </c>
    </row>
    <row r="668" spans="1:1" x14ac:dyDescent="0.35">
      <c r="A668" t="s">
        <v>743</v>
      </c>
    </row>
    <row r="669" spans="1:1" x14ac:dyDescent="0.35">
      <c r="A669" t="s">
        <v>744</v>
      </c>
    </row>
    <row r="670" spans="1:1" x14ac:dyDescent="0.35">
      <c r="A670" t="s">
        <v>745</v>
      </c>
    </row>
    <row r="671" spans="1:1" x14ac:dyDescent="0.35">
      <c r="A671" t="s">
        <v>746</v>
      </c>
    </row>
    <row r="672" spans="1:1" x14ac:dyDescent="0.35">
      <c r="A672" t="s">
        <v>747</v>
      </c>
    </row>
    <row r="673" spans="1:1" x14ac:dyDescent="0.35">
      <c r="A673" t="s">
        <v>748</v>
      </c>
    </row>
    <row r="674" spans="1:1" x14ac:dyDescent="0.35">
      <c r="A674" t="s">
        <v>749</v>
      </c>
    </row>
    <row r="675" spans="1:1" x14ac:dyDescent="0.35">
      <c r="A675" t="s">
        <v>750</v>
      </c>
    </row>
    <row r="676" spans="1:1" x14ac:dyDescent="0.35">
      <c r="A676" t="s">
        <v>751</v>
      </c>
    </row>
    <row r="677" spans="1:1" x14ac:dyDescent="0.35">
      <c r="A677" t="s">
        <v>752</v>
      </c>
    </row>
    <row r="678" spans="1:1" x14ac:dyDescent="0.35">
      <c r="A678" t="s">
        <v>753</v>
      </c>
    </row>
    <row r="679" spans="1:1" x14ac:dyDescent="0.35">
      <c r="A679" t="s">
        <v>754</v>
      </c>
    </row>
    <row r="680" spans="1:1" x14ac:dyDescent="0.35">
      <c r="A680" t="s">
        <v>755</v>
      </c>
    </row>
    <row r="681" spans="1:1" x14ac:dyDescent="0.35">
      <c r="A681" t="s">
        <v>756</v>
      </c>
    </row>
    <row r="682" spans="1:1" x14ac:dyDescent="0.35">
      <c r="A682" t="s">
        <v>757</v>
      </c>
    </row>
    <row r="683" spans="1:1" x14ac:dyDescent="0.35">
      <c r="A683" t="s">
        <v>758</v>
      </c>
    </row>
    <row r="684" spans="1:1" x14ac:dyDescent="0.35">
      <c r="A684" t="s">
        <v>759</v>
      </c>
    </row>
    <row r="685" spans="1:1" x14ac:dyDescent="0.35">
      <c r="A685" t="s">
        <v>760</v>
      </c>
    </row>
    <row r="686" spans="1:1" x14ac:dyDescent="0.35">
      <c r="A686" t="s">
        <v>761</v>
      </c>
    </row>
    <row r="687" spans="1:1" x14ac:dyDescent="0.35">
      <c r="A687" t="s">
        <v>762</v>
      </c>
    </row>
    <row r="688" spans="1:1" x14ac:dyDescent="0.35">
      <c r="A688" t="s">
        <v>763</v>
      </c>
    </row>
    <row r="689" spans="1:1" x14ac:dyDescent="0.35">
      <c r="A689" t="s">
        <v>764</v>
      </c>
    </row>
    <row r="690" spans="1:1" x14ac:dyDescent="0.35">
      <c r="A690" t="s">
        <v>765</v>
      </c>
    </row>
    <row r="691" spans="1:1" x14ac:dyDescent="0.35">
      <c r="A691" t="s">
        <v>766</v>
      </c>
    </row>
    <row r="692" spans="1:1" x14ac:dyDescent="0.35">
      <c r="A692" t="s">
        <v>767</v>
      </c>
    </row>
    <row r="693" spans="1:1" x14ac:dyDescent="0.35">
      <c r="A693" t="s">
        <v>768</v>
      </c>
    </row>
    <row r="694" spans="1:1" x14ac:dyDescent="0.35">
      <c r="A694" t="s">
        <v>769</v>
      </c>
    </row>
    <row r="695" spans="1:1" x14ac:dyDescent="0.35">
      <c r="A695" t="s">
        <v>770</v>
      </c>
    </row>
    <row r="696" spans="1:1" x14ac:dyDescent="0.35">
      <c r="A696" t="s">
        <v>771</v>
      </c>
    </row>
    <row r="697" spans="1:1" x14ac:dyDescent="0.35">
      <c r="A697" t="s">
        <v>772</v>
      </c>
    </row>
    <row r="698" spans="1:1" x14ac:dyDescent="0.35">
      <c r="A698" t="s">
        <v>773</v>
      </c>
    </row>
    <row r="699" spans="1:1" x14ac:dyDescent="0.35">
      <c r="A699" t="s">
        <v>774</v>
      </c>
    </row>
    <row r="700" spans="1:1" x14ac:dyDescent="0.35">
      <c r="A700" t="s">
        <v>775</v>
      </c>
    </row>
    <row r="701" spans="1:1" x14ac:dyDescent="0.35">
      <c r="A701" t="s">
        <v>776</v>
      </c>
    </row>
    <row r="702" spans="1:1" x14ac:dyDescent="0.35">
      <c r="A702" t="s">
        <v>777</v>
      </c>
    </row>
    <row r="703" spans="1:1" x14ac:dyDescent="0.35">
      <c r="A703" t="s">
        <v>778</v>
      </c>
    </row>
    <row r="704" spans="1:1" x14ac:dyDescent="0.35">
      <c r="A704" t="s">
        <v>779</v>
      </c>
    </row>
    <row r="705" spans="1:1" x14ac:dyDescent="0.35">
      <c r="A705" t="s">
        <v>780</v>
      </c>
    </row>
    <row r="706" spans="1:1" x14ac:dyDescent="0.35">
      <c r="A706" t="s">
        <v>781</v>
      </c>
    </row>
    <row r="707" spans="1:1" x14ac:dyDescent="0.35">
      <c r="A707" t="s">
        <v>782</v>
      </c>
    </row>
    <row r="708" spans="1:1" x14ac:dyDescent="0.35">
      <c r="A708" t="s">
        <v>783</v>
      </c>
    </row>
    <row r="709" spans="1:1" x14ac:dyDescent="0.35">
      <c r="A709" t="s">
        <v>784</v>
      </c>
    </row>
    <row r="710" spans="1:1" x14ac:dyDescent="0.35">
      <c r="A710" t="s">
        <v>785</v>
      </c>
    </row>
    <row r="711" spans="1:1" x14ac:dyDescent="0.35">
      <c r="A711" t="s">
        <v>786</v>
      </c>
    </row>
    <row r="712" spans="1:1" x14ac:dyDescent="0.35">
      <c r="A712" t="s">
        <v>787</v>
      </c>
    </row>
    <row r="713" spans="1:1" x14ac:dyDescent="0.35">
      <c r="A713" t="s">
        <v>788</v>
      </c>
    </row>
    <row r="714" spans="1:1" x14ac:dyDescent="0.35">
      <c r="A714" t="s">
        <v>789</v>
      </c>
    </row>
    <row r="715" spans="1:1" x14ac:dyDescent="0.35">
      <c r="A715" t="s">
        <v>790</v>
      </c>
    </row>
    <row r="716" spans="1:1" x14ac:dyDescent="0.35">
      <c r="A716" t="s">
        <v>791</v>
      </c>
    </row>
    <row r="717" spans="1:1" x14ac:dyDescent="0.35">
      <c r="A717" t="s">
        <v>792</v>
      </c>
    </row>
    <row r="718" spans="1:1" x14ac:dyDescent="0.35">
      <c r="A718" t="s">
        <v>793</v>
      </c>
    </row>
    <row r="719" spans="1:1" x14ac:dyDescent="0.35">
      <c r="A719" t="s">
        <v>794</v>
      </c>
    </row>
    <row r="720" spans="1:1" x14ac:dyDescent="0.35">
      <c r="A720" t="s">
        <v>795</v>
      </c>
    </row>
    <row r="721" spans="1:1" x14ac:dyDescent="0.35">
      <c r="A721" t="s">
        <v>796</v>
      </c>
    </row>
    <row r="722" spans="1:1" x14ac:dyDescent="0.35">
      <c r="A722" t="s">
        <v>797</v>
      </c>
    </row>
    <row r="723" spans="1:1" x14ac:dyDescent="0.35">
      <c r="A723" t="s">
        <v>798</v>
      </c>
    </row>
    <row r="724" spans="1:1" x14ac:dyDescent="0.35">
      <c r="A724" t="s">
        <v>799</v>
      </c>
    </row>
    <row r="725" spans="1:1" x14ac:dyDescent="0.35">
      <c r="A725" t="s">
        <v>800</v>
      </c>
    </row>
    <row r="726" spans="1:1" x14ac:dyDescent="0.35">
      <c r="A726" t="s">
        <v>801</v>
      </c>
    </row>
    <row r="727" spans="1:1" x14ac:dyDescent="0.35">
      <c r="A727" t="s">
        <v>802</v>
      </c>
    </row>
    <row r="728" spans="1:1" x14ac:dyDescent="0.35">
      <c r="A728" t="s">
        <v>803</v>
      </c>
    </row>
    <row r="729" spans="1:1" x14ac:dyDescent="0.35">
      <c r="A729" t="s">
        <v>804</v>
      </c>
    </row>
    <row r="730" spans="1:1" x14ac:dyDescent="0.35">
      <c r="A730" t="s">
        <v>805</v>
      </c>
    </row>
    <row r="731" spans="1:1" x14ac:dyDescent="0.35">
      <c r="A731" t="s">
        <v>806</v>
      </c>
    </row>
    <row r="732" spans="1:1" x14ac:dyDescent="0.35">
      <c r="A732" t="s">
        <v>807</v>
      </c>
    </row>
    <row r="733" spans="1:1" x14ac:dyDescent="0.35">
      <c r="A733" t="s">
        <v>808</v>
      </c>
    </row>
    <row r="734" spans="1:1" x14ac:dyDescent="0.35">
      <c r="A734" t="s">
        <v>809</v>
      </c>
    </row>
    <row r="735" spans="1:1" x14ac:dyDescent="0.35">
      <c r="A735" t="s">
        <v>810</v>
      </c>
    </row>
    <row r="736" spans="1:1" x14ac:dyDescent="0.35">
      <c r="A736" t="s">
        <v>811</v>
      </c>
    </row>
    <row r="737" spans="1:1" x14ac:dyDescent="0.35">
      <c r="A737" t="s">
        <v>812</v>
      </c>
    </row>
    <row r="738" spans="1:1" x14ac:dyDescent="0.35">
      <c r="A738" t="s">
        <v>813</v>
      </c>
    </row>
    <row r="739" spans="1:1" x14ac:dyDescent="0.35">
      <c r="A739" t="s">
        <v>814</v>
      </c>
    </row>
    <row r="740" spans="1:1" x14ac:dyDescent="0.35">
      <c r="A740" t="s">
        <v>815</v>
      </c>
    </row>
    <row r="741" spans="1:1" x14ac:dyDescent="0.35">
      <c r="A741" t="s">
        <v>816</v>
      </c>
    </row>
    <row r="742" spans="1:1" x14ac:dyDescent="0.35">
      <c r="A742" t="s">
        <v>817</v>
      </c>
    </row>
    <row r="743" spans="1:1" x14ac:dyDescent="0.35">
      <c r="A743" t="s">
        <v>818</v>
      </c>
    </row>
    <row r="744" spans="1:1" x14ac:dyDescent="0.35">
      <c r="A744" t="s">
        <v>819</v>
      </c>
    </row>
    <row r="745" spans="1:1" x14ac:dyDescent="0.35">
      <c r="A745" t="s">
        <v>820</v>
      </c>
    </row>
    <row r="746" spans="1:1" x14ac:dyDescent="0.35">
      <c r="A746" t="s">
        <v>821</v>
      </c>
    </row>
    <row r="747" spans="1:1" x14ac:dyDescent="0.35">
      <c r="A747" t="s">
        <v>822</v>
      </c>
    </row>
    <row r="748" spans="1:1" x14ac:dyDescent="0.35">
      <c r="A748" t="s">
        <v>823</v>
      </c>
    </row>
    <row r="749" spans="1:1" x14ac:dyDescent="0.35">
      <c r="A749" t="s">
        <v>824</v>
      </c>
    </row>
    <row r="750" spans="1:1" x14ac:dyDescent="0.35">
      <c r="A750" t="s">
        <v>825</v>
      </c>
    </row>
    <row r="751" spans="1:1" x14ac:dyDescent="0.35">
      <c r="A751" t="s">
        <v>826</v>
      </c>
    </row>
    <row r="752" spans="1:1" x14ac:dyDescent="0.35">
      <c r="A752" t="s">
        <v>827</v>
      </c>
    </row>
    <row r="753" spans="1:1" x14ac:dyDescent="0.35">
      <c r="A753" t="s">
        <v>828</v>
      </c>
    </row>
    <row r="754" spans="1:1" x14ac:dyDescent="0.35">
      <c r="A754" t="s">
        <v>829</v>
      </c>
    </row>
    <row r="755" spans="1:1" x14ac:dyDescent="0.35">
      <c r="A755" t="s">
        <v>830</v>
      </c>
    </row>
    <row r="756" spans="1:1" x14ac:dyDescent="0.35">
      <c r="A756" t="s">
        <v>831</v>
      </c>
    </row>
    <row r="757" spans="1:1" x14ac:dyDescent="0.35">
      <c r="A757" t="s">
        <v>832</v>
      </c>
    </row>
    <row r="758" spans="1:1" x14ac:dyDescent="0.35">
      <c r="A758" t="s">
        <v>833</v>
      </c>
    </row>
    <row r="759" spans="1:1" x14ac:dyDescent="0.35">
      <c r="A759" t="s">
        <v>834</v>
      </c>
    </row>
    <row r="760" spans="1:1" x14ac:dyDescent="0.35">
      <c r="A760" t="s">
        <v>835</v>
      </c>
    </row>
    <row r="761" spans="1:1" x14ac:dyDescent="0.35">
      <c r="A761" t="s">
        <v>836</v>
      </c>
    </row>
    <row r="762" spans="1:1" x14ac:dyDescent="0.35">
      <c r="A762" t="s">
        <v>837</v>
      </c>
    </row>
    <row r="763" spans="1:1" x14ac:dyDescent="0.35">
      <c r="A763" t="s">
        <v>838</v>
      </c>
    </row>
    <row r="764" spans="1:1" x14ac:dyDescent="0.35">
      <c r="A764" t="s">
        <v>839</v>
      </c>
    </row>
    <row r="765" spans="1:1" x14ac:dyDescent="0.35">
      <c r="A765" t="s">
        <v>840</v>
      </c>
    </row>
    <row r="766" spans="1:1" x14ac:dyDescent="0.35">
      <c r="A766" t="s">
        <v>841</v>
      </c>
    </row>
    <row r="767" spans="1:1" x14ac:dyDescent="0.35">
      <c r="A767" t="s">
        <v>842</v>
      </c>
    </row>
    <row r="768" spans="1:1" x14ac:dyDescent="0.35">
      <c r="A768" t="s">
        <v>843</v>
      </c>
    </row>
    <row r="769" spans="1:1" x14ac:dyDescent="0.35">
      <c r="A769" t="s">
        <v>844</v>
      </c>
    </row>
    <row r="770" spans="1:1" x14ac:dyDescent="0.35">
      <c r="A770" t="s">
        <v>845</v>
      </c>
    </row>
    <row r="771" spans="1:1" x14ac:dyDescent="0.35">
      <c r="A771" t="s">
        <v>846</v>
      </c>
    </row>
    <row r="772" spans="1:1" x14ac:dyDescent="0.35">
      <c r="A772" t="s">
        <v>847</v>
      </c>
    </row>
    <row r="773" spans="1:1" x14ac:dyDescent="0.35">
      <c r="A773" t="s">
        <v>848</v>
      </c>
    </row>
    <row r="774" spans="1:1" x14ac:dyDescent="0.35">
      <c r="A774" t="s">
        <v>849</v>
      </c>
    </row>
    <row r="775" spans="1:1" x14ac:dyDescent="0.35">
      <c r="A775" t="s">
        <v>850</v>
      </c>
    </row>
    <row r="776" spans="1:1" x14ac:dyDescent="0.35">
      <c r="A776" t="s">
        <v>851</v>
      </c>
    </row>
    <row r="777" spans="1:1" x14ac:dyDescent="0.35">
      <c r="A777" t="s">
        <v>852</v>
      </c>
    </row>
    <row r="778" spans="1:1" x14ac:dyDescent="0.35">
      <c r="A778" t="s">
        <v>853</v>
      </c>
    </row>
    <row r="779" spans="1:1" x14ac:dyDescent="0.35">
      <c r="A779" t="s">
        <v>854</v>
      </c>
    </row>
    <row r="780" spans="1:1" x14ac:dyDescent="0.35">
      <c r="A780" t="s">
        <v>855</v>
      </c>
    </row>
    <row r="781" spans="1:1" x14ac:dyDescent="0.35">
      <c r="A781" t="s">
        <v>856</v>
      </c>
    </row>
    <row r="782" spans="1:1" x14ac:dyDescent="0.35">
      <c r="A782" t="s">
        <v>857</v>
      </c>
    </row>
    <row r="783" spans="1:1" x14ac:dyDescent="0.35">
      <c r="A783" t="s">
        <v>858</v>
      </c>
    </row>
    <row r="784" spans="1:1" x14ac:dyDescent="0.35">
      <c r="A784" t="s">
        <v>859</v>
      </c>
    </row>
    <row r="785" spans="1:1" x14ac:dyDescent="0.35">
      <c r="A785" t="s">
        <v>860</v>
      </c>
    </row>
    <row r="786" spans="1:1" x14ac:dyDescent="0.35">
      <c r="A786" t="s">
        <v>861</v>
      </c>
    </row>
    <row r="787" spans="1:1" x14ac:dyDescent="0.35">
      <c r="A787" t="s">
        <v>862</v>
      </c>
    </row>
    <row r="788" spans="1:1" x14ac:dyDescent="0.35">
      <c r="A788" t="s">
        <v>863</v>
      </c>
    </row>
    <row r="789" spans="1:1" x14ac:dyDescent="0.35">
      <c r="A789" t="s">
        <v>864</v>
      </c>
    </row>
    <row r="790" spans="1:1" x14ac:dyDescent="0.35">
      <c r="A790" t="s">
        <v>865</v>
      </c>
    </row>
    <row r="791" spans="1:1" x14ac:dyDescent="0.35">
      <c r="A791" t="s">
        <v>866</v>
      </c>
    </row>
    <row r="792" spans="1:1" x14ac:dyDescent="0.35">
      <c r="A792" t="s">
        <v>867</v>
      </c>
    </row>
    <row r="793" spans="1:1" x14ac:dyDescent="0.35">
      <c r="A793" t="s">
        <v>868</v>
      </c>
    </row>
    <row r="794" spans="1:1" x14ac:dyDescent="0.35">
      <c r="A794" t="s">
        <v>869</v>
      </c>
    </row>
    <row r="795" spans="1:1" x14ac:dyDescent="0.35">
      <c r="A795" t="s">
        <v>870</v>
      </c>
    </row>
    <row r="796" spans="1:1" x14ac:dyDescent="0.35">
      <c r="A796" t="s">
        <v>871</v>
      </c>
    </row>
    <row r="797" spans="1:1" x14ac:dyDescent="0.35">
      <c r="A797" t="s">
        <v>872</v>
      </c>
    </row>
    <row r="798" spans="1:1" x14ac:dyDescent="0.35">
      <c r="A798" t="s">
        <v>873</v>
      </c>
    </row>
    <row r="799" spans="1:1" x14ac:dyDescent="0.35">
      <c r="A799" t="s">
        <v>874</v>
      </c>
    </row>
    <row r="800" spans="1:1" x14ac:dyDescent="0.35">
      <c r="A800" t="s">
        <v>875</v>
      </c>
    </row>
    <row r="801" spans="1:1" x14ac:dyDescent="0.35">
      <c r="A801" t="s">
        <v>876</v>
      </c>
    </row>
    <row r="802" spans="1:1" x14ac:dyDescent="0.35">
      <c r="A802" t="s">
        <v>877</v>
      </c>
    </row>
    <row r="803" spans="1:1" x14ac:dyDescent="0.35">
      <c r="A803" t="s">
        <v>878</v>
      </c>
    </row>
    <row r="804" spans="1:1" x14ac:dyDescent="0.35">
      <c r="A804" t="s">
        <v>879</v>
      </c>
    </row>
    <row r="805" spans="1:1" x14ac:dyDescent="0.35">
      <c r="A805" t="s">
        <v>880</v>
      </c>
    </row>
    <row r="806" spans="1:1" x14ac:dyDescent="0.35">
      <c r="A806" t="s">
        <v>881</v>
      </c>
    </row>
    <row r="807" spans="1:1" x14ac:dyDescent="0.35">
      <c r="A807" t="s">
        <v>882</v>
      </c>
    </row>
    <row r="808" spans="1:1" x14ac:dyDescent="0.35">
      <c r="A808" t="s">
        <v>883</v>
      </c>
    </row>
    <row r="809" spans="1:1" x14ac:dyDescent="0.35">
      <c r="A809" t="s">
        <v>884</v>
      </c>
    </row>
    <row r="810" spans="1:1" x14ac:dyDescent="0.35">
      <c r="A810" t="s">
        <v>885</v>
      </c>
    </row>
    <row r="811" spans="1:1" x14ac:dyDescent="0.35">
      <c r="A811" t="s">
        <v>886</v>
      </c>
    </row>
    <row r="812" spans="1:1" x14ac:dyDescent="0.35">
      <c r="A812" t="s">
        <v>887</v>
      </c>
    </row>
    <row r="813" spans="1:1" x14ac:dyDescent="0.35">
      <c r="A813" t="s">
        <v>888</v>
      </c>
    </row>
    <row r="814" spans="1:1" x14ac:dyDescent="0.35">
      <c r="A814" t="s">
        <v>889</v>
      </c>
    </row>
    <row r="815" spans="1:1" x14ac:dyDescent="0.35">
      <c r="A815" t="s">
        <v>890</v>
      </c>
    </row>
    <row r="816" spans="1:1" x14ac:dyDescent="0.35">
      <c r="A816" t="s">
        <v>891</v>
      </c>
    </row>
    <row r="817" spans="1:1" x14ac:dyDescent="0.35">
      <c r="A817" t="s">
        <v>892</v>
      </c>
    </row>
    <row r="818" spans="1:1" x14ac:dyDescent="0.35">
      <c r="A818" t="s">
        <v>893</v>
      </c>
    </row>
    <row r="819" spans="1:1" x14ac:dyDescent="0.35">
      <c r="A819" t="s">
        <v>894</v>
      </c>
    </row>
    <row r="820" spans="1:1" x14ac:dyDescent="0.35">
      <c r="A820" t="s">
        <v>895</v>
      </c>
    </row>
    <row r="821" spans="1:1" x14ac:dyDescent="0.35">
      <c r="A821" t="s">
        <v>896</v>
      </c>
    </row>
    <row r="822" spans="1:1" x14ac:dyDescent="0.35">
      <c r="A822" t="s">
        <v>897</v>
      </c>
    </row>
    <row r="823" spans="1:1" x14ac:dyDescent="0.35">
      <c r="A823" t="s">
        <v>898</v>
      </c>
    </row>
    <row r="824" spans="1:1" x14ac:dyDescent="0.35">
      <c r="A824" t="s">
        <v>899</v>
      </c>
    </row>
    <row r="825" spans="1:1" x14ac:dyDescent="0.35">
      <c r="A825" t="s">
        <v>900</v>
      </c>
    </row>
    <row r="826" spans="1:1" x14ac:dyDescent="0.35">
      <c r="A826" t="s">
        <v>901</v>
      </c>
    </row>
    <row r="827" spans="1:1" x14ac:dyDescent="0.35">
      <c r="A827" t="s">
        <v>902</v>
      </c>
    </row>
    <row r="828" spans="1:1" x14ac:dyDescent="0.35">
      <c r="A828" t="s">
        <v>903</v>
      </c>
    </row>
    <row r="829" spans="1:1" x14ac:dyDescent="0.35">
      <c r="A829" t="s">
        <v>904</v>
      </c>
    </row>
    <row r="830" spans="1:1" x14ac:dyDescent="0.35">
      <c r="A830" t="s">
        <v>905</v>
      </c>
    </row>
    <row r="831" spans="1:1" x14ac:dyDescent="0.35">
      <c r="A831" t="s">
        <v>906</v>
      </c>
    </row>
    <row r="832" spans="1:1" x14ac:dyDescent="0.35">
      <c r="A832" t="s">
        <v>907</v>
      </c>
    </row>
    <row r="833" spans="1:1" x14ac:dyDescent="0.35">
      <c r="A833" t="s">
        <v>908</v>
      </c>
    </row>
    <row r="834" spans="1:1" x14ac:dyDescent="0.35">
      <c r="A834" t="s">
        <v>909</v>
      </c>
    </row>
    <row r="835" spans="1:1" x14ac:dyDescent="0.35">
      <c r="A835" t="s">
        <v>910</v>
      </c>
    </row>
    <row r="836" spans="1:1" x14ac:dyDescent="0.35">
      <c r="A836" t="s">
        <v>911</v>
      </c>
    </row>
    <row r="837" spans="1:1" x14ac:dyDescent="0.35">
      <c r="A837" t="s">
        <v>912</v>
      </c>
    </row>
    <row r="838" spans="1:1" x14ac:dyDescent="0.35">
      <c r="A838" t="s">
        <v>913</v>
      </c>
    </row>
    <row r="839" spans="1:1" x14ac:dyDescent="0.35">
      <c r="A839" t="s">
        <v>914</v>
      </c>
    </row>
    <row r="840" spans="1:1" x14ac:dyDescent="0.35">
      <c r="A840" t="s">
        <v>915</v>
      </c>
    </row>
    <row r="841" spans="1:1" x14ac:dyDescent="0.35">
      <c r="A841" t="s">
        <v>916</v>
      </c>
    </row>
    <row r="842" spans="1:1" x14ac:dyDescent="0.35">
      <c r="A842" t="s">
        <v>917</v>
      </c>
    </row>
    <row r="843" spans="1:1" x14ac:dyDescent="0.35">
      <c r="A843" t="s">
        <v>918</v>
      </c>
    </row>
    <row r="844" spans="1:1" x14ac:dyDescent="0.35">
      <c r="A844" t="s">
        <v>919</v>
      </c>
    </row>
    <row r="845" spans="1:1" x14ac:dyDescent="0.35">
      <c r="A845" t="s">
        <v>920</v>
      </c>
    </row>
    <row r="846" spans="1:1" x14ac:dyDescent="0.35">
      <c r="A846" t="s">
        <v>921</v>
      </c>
    </row>
    <row r="847" spans="1:1" x14ac:dyDescent="0.35">
      <c r="A847" t="s">
        <v>922</v>
      </c>
    </row>
    <row r="848" spans="1:1" x14ac:dyDescent="0.35">
      <c r="A848" t="s">
        <v>923</v>
      </c>
    </row>
    <row r="849" spans="1:1" x14ac:dyDescent="0.35">
      <c r="A849" t="s">
        <v>924</v>
      </c>
    </row>
    <row r="850" spans="1:1" x14ac:dyDescent="0.35">
      <c r="A850" t="s">
        <v>925</v>
      </c>
    </row>
    <row r="851" spans="1:1" x14ac:dyDescent="0.35">
      <c r="A851" t="s">
        <v>926</v>
      </c>
    </row>
    <row r="852" spans="1:1" x14ac:dyDescent="0.35">
      <c r="A852" t="s">
        <v>927</v>
      </c>
    </row>
    <row r="853" spans="1:1" x14ac:dyDescent="0.35">
      <c r="A853" t="s">
        <v>928</v>
      </c>
    </row>
    <row r="854" spans="1:1" x14ac:dyDescent="0.35">
      <c r="A854" t="s">
        <v>929</v>
      </c>
    </row>
    <row r="855" spans="1:1" x14ac:dyDescent="0.35">
      <c r="A855" t="s">
        <v>930</v>
      </c>
    </row>
    <row r="856" spans="1:1" x14ac:dyDescent="0.35">
      <c r="A856" t="s">
        <v>931</v>
      </c>
    </row>
    <row r="857" spans="1:1" x14ac:dyDescent="0.35">
      <c r="A857" t="s">
        <v>932</v>
      </c>
    </row>
    <row r="858" spans="1:1" x14ac:dyDescent="0.35">
      <c r="A858" t="s">
        <v>933</v>
      </c>
    </row>
    <row r="859" spans="1:1" x14ac:dyDescent="0.35">
      <c r="A859" t="s">
        <v>934</v>
      </c>
    </row>
    <row r="860" spans="1:1" x14ac:dyDescent="0.35">
      <c r="A860" t="s">
        <v>935</v>
      </c>
    </row>
    <row r="861" spans="1:1" x14ac:dyDescent="0.35">
      <c r="A861" t="s">
        <v>936</v>
      </c>
    </row>
    <row r="862" spans="1:1" x14ac:dyDescent="0.35">
      <c r="A862" t="s">
        <v>937</v>
      </c>
    </row>
    <row r="863" spans="1:1" x14ac:dyDescent="0.35">
      <c r="A863" t="s">
        <v>938</v>
      </c>
    </row>
    <row r="864" spans="1:1" x14ac:dyDescent="0.35">
      <c r="A864" t="s">
        <v>939</v>
      </c>
    </row>
    <row r="865" spans="1:1" x14ac:dyDescent="0.35">
      <c r="A865" t="s">
        <v>940</v>
      </c>
    </row>
    <row r="866" spans="1:1" x14ac:dyDescent="0.35">
      <c r="A866" t="s">
        <v>941</v>
      </c>
    </row>
    <row r="867" spans="1:1" x14ac:dyDescent="0.35">
      <c r="A867" t="s">
        <v>942</v>
      </c>
    </row>
    <row r="868" spans="1:1" x14ac:dyDescent="0.35">
      <c r="A868" t="s">
        <v>943</v>
      </c>
    </row>
    <row r="869" spans="1:1" x14ac:dyDescent="0.35">
      <c r="A869" t="s">
        <v>944</v>
      </c>
    </row>
    <row r="870" spans="1:1" x14ac:dyDescent="0.35">
      <c r="A870" t="s">
        <v>945</v>
      </c>
    </row>
    <row r="871" spans="1:1" x14ac:dyDescent="0.35">
      <c r="A871" t="s">
        <v>946</v>
      </c>
    </row>
    <row r="872" spans="1:1" x14ac:dyDescent="0.35">
      <c r="A872" t="s">
        <v>947</v>
      </c>
    </row>
    <row r="873" spans="1:1" x14ac:dyDescent="0.35">
      <c r="A873" t="s">
        <v>948</v>
      </c>
    </row>
    <row r="874" spans="1:1" x14ac:dyDescent="0.35">
      <c r="A874" t="s">
        <v>949</v>
      </c>
    </row>
    <row r="875" spans="1:1" x14ac:dyDescent="0.35">
      <c r="A875" t="s">
        <v>950</v>
      </c>
    </row>
    <row r="876" spans="1:1" x14ac:dyDescent="0.35">
      <c r="A876" t="s">
        <v>951</v>
      </c>
    </row>
    <row r="877" spans="1:1" x14ac:dyDescent="0.35">
      <c r="A877" t="s">
        <v>952</v>
      </c>
    </row>
    <row r="878" spans="1:1" x14ac:dyDescent="0.35">
      <c r="A878" t="s">
        <v>953</v>
      </c>
    </row>
    <row r="879" spans="1:1" x14ac:dyDescent="0.35">
      <c r="A879" t="s">
        <v>954</v>
      </c>
    </row>
    <row r="880" spans="1:1" x14ac:dyDescent="0.35">
      <c r="A880" t="s">
        <v>955</v>
      </c>
    </row>
    <row r="881" spans="1:1" x14ac:dyDescent="0.35">
      <c r="A881" t="s">
        <v>956</v>
      </c>
    </row>
    <row r="882" spans="1:1" x14ac:dyDescent="0.35">
      <c r="A882" t="s">
        <v>957</v>
      </c>
    </row>
    <row r="883" spans="1:1" x14ac:dyDescent="0.35">
      <c r="A883" t="s">
        <v>958</v>
      </c>
    </row>
    <row r="884" spans="1:1" x14ac:dyDescent="0.35">
      <c r="A884" t="s">
        <v>959</v>
      </c>
    </row>
    <row r="885" spans="1:1" x14ac:dyDescent="0.35">
      <c r="A885" t="s">
        <v>960</v>
      </c>
    </row>
    <row r="886" spans="1:1" x14ac:dyDescent="0.35">
      <c r="A886" t="s">
        <v>961</v>
      </c>
    </row>
    <row r="887" spans="1:1" x14ac:dyDescent="0.35">
      <c r="A887" t="s">
        <v>962</v>
      </c>
    </row>
    <row r="888" spans="1:1" x14ac:dyDescent="0.35">
      <c r="A888" t="s">
        <v>963</v>
      </c>
    </row>
    <row r="889" spans="1:1" x14ac:dyDescent="0.35">
      <c r="A889" t="s">
        <v>964</v>
      </c>
    </row>
    <row r="890" spans="1:1" x14ac:dyDescent="0.35">
      <c r="A890" t="s">
        <v>965</v>
      </c>
    </row>
    <row r="891" spans="1:1" x14ac:dyDescent="0.35">
      <c r="A891" t="s">
        <v>966</v>
      </c>
    </row>
    <row r="892" spans="1:1" x14ac:dyDescent="0.35">
      <c r="A892" t="s">
        <v>967</v>
      </c>
    </row>
    <row r="893" spans="1:1" x14ac:dyDescent="0.35">
      <c r="A893" t="s">
        <v>968</v>
      </c>
    </row>
    <row r="894" spans="1:1" x14ac:dyDescent="0.35">
      <c r="A894" t="s">
        <v>969</v>
      </c>
    </row>
    <row r="895" spans="1:1" x14ac:dyDescent="0.35">
      <c r="A895" t="s">
        <v>970</v>
      </c>
    </row>
    <row r="896" spans="1:1" x14ac:dyDescent="0.35">
      <c r="A896" t="s">
        <v>971</v>
      </c>
    </row>
    <row r="897" spans="1:1" x14ac:dyDescent="0.35">
      <c r="A897" t="s">
        <v>972</v>
      </c>
    </row>
    <row r="898" spans="1:1" x14ac:dyDescent="0.35">
      <c r="A898" t="s">
        <v>973</v>
      </c>
    </row>
    <row r="899" spans="1:1" x14ac:dyDescent="0.35">
      <c r="A899" t="s">
        <v>974</v>
      </c>
    </row>
    <row r="900" spans="1:1" x14ac:dyDescent="0.35">
      <c r="A900" t="s">
        <v>975</v>
      </c>
    </row>
    <row r="901" spans="1:1" x14ac:dyDescent="0.35">
      <c r="A901" t="s">
        <v>976</v>
      </c>
    </row>
    <row r="902" spans="1:1" x14ac:dyDescent="0.35">
      <c r="A902" t="s">
        <v>977</v>
      </c>
    </row>
    <row r="903" spans="1:1" x14ac:dyDescent="0.35">
      <c r="A903" t="s">
        <v>978</v>
      </c>
    </row>
    <row r="904" spans="1:1" x14ac:dyDescent="0.35">
      <c r="A904" t="s">
        <v>979</v>
      </c>
    </row>
    <row r="905" spans="1:1" x14ac:dyDescent="0.35">
      <c r="A905" t="s">
        <v>980</v>
      </c>
    </row>
    <row r="906" spans="1:1" x14ac:dyDescent="0.35">
      <c r="A906" t="s">
        <v>981</v>
      </c>
    </row>
    <row r="907" spans="1:1" x14ac:dyDescent="0.35">
      <c r="A907" t="s">
        <v>982</v>
      </c>
    </row>
    <row r="908" spans="1:1" x14ac:dyDescent="0.35">
      <c r="A908" t="s">
        <v>983</v>
      </c>
    </row>
    <row r="909" spans="1:1" x14ac:dyDescent="0.35">
      <c r="A909" t="s">
        <v>984</v>
      </c>
    </row>
    <row r="910" spans="1:1" x14ac:dyDescent="0.35">
      <c r="A910" t="s">
        <v>985</v>
      </c>
    </row>
    <row r="911" spans="1:1" x14ac:dyDescent="0.35">
      <c r="A911" t="s">
        <v>986</v>
      </c>
    </row>
    <row r="912" spans="1:1" x14ac:dyDescent="0.35">
      <c r="A912" t="s">
        <v>987</v>
      </c>
    </row>
    <row r="913" spans="1:1" x14ac:dyDescent="0.35">
      <c r="A913" t="s">
        <v>988</v>
      </c>
    </row>
    <row r="914" spans="1:1" x14ac:dyDescent="0.35">
      <c r="A914" t="s">
        <v>989</v>
      </c>
    </row>
    <row r="915" spans="1:1" x14ac:dyDescent="0.35">
      <c r="A915" t="s">
        <v>990</v>
      </c>
    </row>
    <row r="916" spans="1:1" x14ac:dyDescent="0.35">
      <c r="A916" t="s">
        <v>991</v>
      </c>
    </row>
    <row r="917" spans="1:1" x14ac:dyDescent="0.35">
      <c r="A917" t="s">
        <v>992</v>
      </c>
    </row>
    <row r="918" spans="1:1" x14ac:dyDescent="0.35">
      <c r="A918" t="s">
        <v>993</v>
      </c>
    </row>
    <row r="919" spans="1:1" x14ac:dyDescent="0.35">
      <c r="A919" t="s">
        <v>994</v>
      </c>
    </row>
    <row r="920" spans="1:1" x14ac:dyDescent="0.35">
      <c r="A920" t="s">
        <v>995</v>
      </c>
    </row>
    <row r="921" spans="1:1" x14ac:dyDescent="0.35">
      <c r="A921" t="s">
        <v>996</v>
      </c>
    </row>
    <row r="922" spans="1:1" x14ac:dyDescent="0.35">
      <c r="A922" t="s">
        <v>997</v>
      </c>
    </row>
    <row r="923" spans="1:1" x14ac:dyDescent="0.35">
      <c r="A923" t="s">
        <v>998</v>
      </c>
    </row>
    <row r="924" spans="1:1" x14ac:dyDescent="0.35">
      <c r="A924" t="s">
        <v>999</v>
      </c>
    </row>
    <row r="925" spans="1:1" x14ac:dyDescent="0.35">
      <c r="A925" t="s">
        <v>1000</v>
      </c>
    </row>
    <row r="926" spans="1:1" x14ac:dyDescent="0.35">
      <c r="A926" t="s">
        <v>1001</v>
      </c>
    </row>
    <row r="927" spans="1:1" x14ac:dyDescent="0.35">
      <c r="A927" t="s">
        <v>1002</v>
      </c>
    </row>
    <row r="928" spans="1:1" x14ac:dyDescent="0.35">
      <c r="A928" t="s">
        <v>1003</v>
      </c>
    </row>
    <row r="929" spans="1:1" x14ac:dyDescent="0.35">
      <c r="A929" t="s">
        <v>1004</v>
      </c>
    </row>
    <row r="930" spans="1:1" x14ac:dyDescent="0.35">
      <c r="A930" t="s">
        <v>1005</v>
      </c>
    </row>
    <row r="931" spans="1:1" x14ac:dyDescent="0.35">
      <c r="A931" t="s">
        <v>1006</v>
      </c>
    </row>
    <row r="932" spans="1:1" x14ac:dyDescent="0.35">
      <c r="A932" t="s">
        <v>1007</v>
      </c>
    </row>
    <row r="933" spans="1:1" x14ac:dyDescent="0.35">
      <c r="A933" t="s">
        <v>1008</v>
      </c>
    </row>
    <row r="934" spans="1:1" x14ac:dyDescent="0.35">
      <c r="A934" t="s">
        <v>1009</v>
      </c>
    </row>
    <row r="935" spans="1:1" x14ac:dyDescent="0.35">
      <c r="A935" t="s">
        <v>1010</v>
      </c>
    </row>
    <row r="936" spans="1:1" x14ac:dyDescent="0.35">
      <c r="A936" t="s">
        <v>1011</v>
      </c>
    </row>
    <row r="937" spans="1:1" x14ac:dyDescent="0.35">
      <c r="A937" t="s">
        <v>1012</v>
      </c>
    </row>
    <row r="938" spans="1:1" x14ac:dyDescent="0.35">
      <c r="A938" t="s">
        <v>1013</v>
      </c>
    </row>
    <row r="939" spans="1:1" x14ac:dyDescent="0.35">
      <c r="A939" t="s">
        <v>1014</v>
      </c>
    </row>
    <row r="940" spans="1:1" x14ac:dyDescent="0.35">
      <c r="A940" t="s">
        <v>1015</v>
      </c>
    </row>
    <row r="941" spans="1:1" x14ac:dyDescent="0.35">
      <c r="A941" t="s">
        <v>1016</v>
      </c>
    </row>
    <row r="942" spans="1:1" x14ac:dyDescent="0.35">
      <c r="A942" t="s">
        <v>1017</v>
      </c>
    </row>
    <row r="943" spans="1:1" x14ac:dyDescent="0.35">
      <c r="A943" t="s">
        <v>1018</v>
      </c>
    </row>
    <row r="944" spans="1:1" x14ac:dyDescent="0.35">
      <c r="A944" t="s">
        <v>1019</v>
      </c>
    </row>
    <row r="945" spans="1:1" x14ac:dyDescent="0.35">
      <c r="A945" t="s">
        <v>1020</v>
      </c>
    </row>
    <row r="946" spans="1:1" x14ac:dyDescent="0.35">
      <c r="A946" t="s">
        <v>1021</v>
      </c>
    </row>
    <row r="947" spans="1:1" x14ac:dyDescent="0.35">
      <c r="A947" t="s">
        <v>1022</v>
      </c>
    </row>
    <row r="948" spans="1:1" x14ac:dyDescent="0.35">
      <c r="A948" t="s">
        <v>1023</v>
      </c>
    </row>
    <row r="949" spans="1:1" x14ac:dyDescent="0.35">
      <c r="A949" t="s">
        <v>1024</v>
      </c>
    </row>
    <row r="950" spans="1:1" x14ac:dyDescent="0.35">
      <c r="A950" t="s">
        <v>1025</v>
      </c>
    </row>
    <row r="951" spans="1:1" x14ac:dyDescent="0.35">
      <c r="A951" t="s">
        <v>1026</v>
      </c>
    </row>
    <row r="952" spans="1:1" x14ac:dyDescent="0.35">
      <c r="A952" t="s">
        <v>1027</v>
      </c>
    </row>
    <row r="953" spans="1:1" x14ac:dyDescent="0.35">
      <c r="A953" t="s">
        <v>1028</v>
      </c>
    </row>
    <row r="954" spans="1:1" x14ac:dyDescent="0.35">
      <c r="A954" t="s">
        <v>1029</v>
      </c>
    </row>
    <row r="955" spans="1:1" x14ac:dyDescent="0.35">
      <c r="A955" t="s">
        <v>1030</v>
      </c>
    </row>
    <row r="956" spans="1:1" x14ac:dyDescent="0.35">
      <c r="A956" t="s">
        <v>1031</v>
      </c>
    </row>
    <row r="957" spans="1:1" x14ac:dyDescent="0.35">
      <c r="A957" t="s">
        <v>1032</v>
      </c>
    </row>
    <row r="958" spans="1:1" x14ac:dyDescent="0.35">
      <c r="A958" t="s">
        <v>1033</v>
      </c>
    </row>
    <row r="959" spans="1:1" x14ac:dyDescent="0.35">
      <c r="A959" t="s">
        <v>1034</v>
      </c>
    </row>
    <row r="960" spans="1:1" x14ac:dyDescent="0.35">
      <c r="A960" t="s">
        <v>1035</v>
      </c>
    </row>
    <row r="961" spans="1:1" x14ac:dyDescent="0.35">
      <c r="A961" t="s">
        <v>1036</v>
      </c>
    </row>
    <row r="962" spans="1:1" x14ac:dyDescent="0.35">
      <c r="A962" t="s">
        <v>1037</v>
      </c>
    </row>
    <row r="963" spans="1:1" x14ac:dyDescent="0.35">
      <c r="A963" t="s">
        <v>1038</v>
      </c>
    </row>
    <row r="964" spans="1:1" x14ac:dyDescent="0.35">
      <c r="A964" t="s">
        <v>1039</v>
      </c>
    </row>
    <row r="965" spans="1:1" x14ac:dyDescent="0.35">
      <c r="A965" t="s">
        <v>1040</v>
      </c>
    </row>
    <row r="966" spans="1:1" x14ac:dyDescent="0.35">
      <c r="A966" t="s">
        <v>1041</v>
      </c>
    </row>
    <row r="967" spans="1:1" x14ac:dyDescent="0.35">
      <c r="A967" t="s">
        <v>1042</v>
      </c>
    </row>
    <row r="968" spans="1:1" x14ac:dyDescent="0.35">
      <c r="A968" t="s">
        <v>1043</v>
      </c>
    </row>
    <row r="969" spans="1:1" x14ac:dyDescent="0.35">
      <c r="A969" t="s">
        <v>1044</v>
      </c>
    </row>
    <row r="970" spans="1:1" x14ac:dyDescent="0.35">
      <c r="A970" t="s">
        <v>1045</v>
      </c>
    </row>
    <row r="971" spans="1:1" x14ac:dyDescent="0.35">
      <c r="A971" t="s">
        <v>1046</v>
      </c>
    </row>
    <row r="972" spans="1:1" x14ac:dyDescent="0.35">
      <c r="A972" t="s">
        <v>1047</v>
      </c>
    </row>
    <row r="973" spans="1:1" x14ac:dyDescent="0.35">
      <c r="A973" t="s">
        <v>1048</v>
      </c>
    </row>
    <row r="974" spans="1:1" x14ac:dyDescent="0.35">
      <c r="A974" t="s">
        <v>1049</v>
      </c>
    </row>
    <row r="975" spans="1:1" x14ac:dyDescent="0.35">
      <c r="A975" t="s">
        <v>1050</v>
      </c>
    </row>
    <row r="976" spans="1:1" x14ac:dyDescent="0.35">
      <c r="A976" t="s">
        <v>1051</v>
      </c>
    </row>
    <row r="977" spans="1:1" x14ac:dyDescent="0.35">
      <c r="A977" t="s">
        <v>1052</v>
      </c>
    </row>
    <row r="978" spans="1:1" x14ac:dyDescent="0.35">
      <c r="A978" t="s">
        <v>1053</v>
      </c>
    </row>
    <row r="979" spans="1:1" x14ac:dyDescent="0.35">
      <c r="A979" t="s">
        <v>1054</v>
      </c>
    </row>
    <row r="980" spans="1:1" x14ac:dyDescent="0.35">
      <c r="A980" t="s">
        <v>1055</v>
      </c>
    </row>
    <row r="981" spans="1:1" x14ac:dyDescent="0.35">
      <c r="A981" t="s">
        <v>1056</v>
      </c>
    </row>
    <row r="982" spans="1:1" x14ac:dyDescent="0.35">
      <c r="A982" t="s">
        <v>1057</v>
      </c>
    </row>
    <row r="983" spans="1:1" x14ac:dyDescent="0.35">
      <c r="A983" t="s">
        <v>1058</v>
      </c>
    </row>
    <row r="984" spans="1:1" x14ac:dyDescent="0.35">
      <c r="A984" t="s">
        <v>1059</v>
      </c>
    </row>
    <row r="985" spans="1:1" x14ac:dyDescent="0.35">
      <c r="A985" t="s">
        <v>1060</v>
      </c>
    </row>
    <row r="986" spans="1:1" x14ac:dyDescent="0.35">
      <c r="A986" t="s">
        <v>1061</v>
      </c>
    </row>
    <row r="987" spans="1:1" x14ac:dyDescent="0.35">
      <c r="A987" t="s">
        <v>1062</v>
      </c>
    </row>
    <row r="988" spans="1:1" x14ac:dyDescent="0.35">
      <c r="A988" t="s">
        <v>1063</v>
      </c>
    </row>
    <row r="989" spans="1:1" x14ac:dyDescent="0.35">
      <c r="A989" t="s">
        <v>1064</v>
      </c>
    </row>
    <row r="990" spans="1:1" x14ac:dyDescent="0.35">
      <c r="A990" t="s">
        <v>1065</v>
      </c>
    </row>
    <row r="991" spans="1:1" x14ac:dyDescent="0.35">
      <c r="A991" t="s">
        <v>1066</v>
      </c>
    </row>
    <row r="992" spans="1:1" x14ac:dyDescent="0.35">
      <c r="A992" t="s">
        <v>1067</v>
      </c>
    </row>
    <row r="993" spans="1:1" x14ac:dyDescent="0.35">
      <c r="A993" t="s">
        <v>1068</v>
      </c>
    </row>
    <row r="994" spans="1:1" x14ac:dyDescent="0.35">
      <c r="A994" t="s">
        <v>1069</v>
      </c>
    </row>
    <row r="995" spans="1:1" x14ac:dyDescent="0.35">
      <c r="A995" t="s">
        <v>1070</v>
      </c>
    </row>
    <row r="996" spans="1:1" x14ac:dyDescent="0.35">
      <c r="A996" t="s">
        <v>1071</v>
      </c>
    </row>
    <row r="997" spans="1:1" x14ac:dyDescent="0.35">
      <c r="A997" t="s">
        <v>1072</v>
      </c>
    </row>
    <row r="998" spans="1:1" x14ac:dyDescent="0.35">
      <c r="A998" t="s">
        <v>1073</v>
      </c>
    </row>
    <row r="999" spans="1:1" x14ac:dyDescent="0.35">
      <c r="A999" t="s">
        <v>1074</v>
      </c>
    </row>
    <row r="1000" spans="1:1" x14ac:dyDescent="0.35">
      <c r="A1000" t="s">
        <v>1075</v>
      </c>
    </row>
    <row r="1001" spans="1:1" x14ac:dyDescent="0.35">
      <c r="A1001" t="s">
        <v>1076</v>
      </c>
    </row>
    <row r="1002" spans="1:1" x14ac:dyDescent="0.35">
      <c r="A1002" t="s">
        <v>1077</v>
      </c>
    </row>
    <row r="1003" spans="1:1" x14ac:dyDescent="0.35">
      <c r="A1003" t="s">
        <v>1078</v>
      </c>
    </row>
    <row r="1004" spans="1:1" x14ac:dyDescent="0.35">
      <c r="A1004" t="s">
        <v>1079</v>
      </c>
    </row>
    <row r="1005" spans="1:1" x14ac:dyDescent="0.35">
      <c r="A1005" t="s">
        <v>1080</v>
      </c>
    </row>
    <row r="1006" spans="1:1" x14ac:dyDescent="0.35">
      <c r="A1006" t="s">
        <v>1081</v>
      </c>
    </row>
    <row r="1007" spans="1:1" x14ac:dyDescent="0.35">
      <c r="A1007" t="s">
        <v>1082</v>
      </c>
    </row>
    <row r="1008" spans="1:1" x14ac:dyDescent="0.35">
      <c r="A1008" t="s">
        <v>1083</v>
      </c>
    </row>
    <row r="1009" spans="1:1" x14ac:dyDescent="0.35">
      <c r="A1009" t="s">
        <v>1084</v>
      </c>
    </row>
    <row r="1010" spans="1:1" x14ac:dyDescent="0.35">
      <c r="A1010" t="s">
        <v>1085</v>
      </c>
    </row>
    <row r="1011" spans="1:1" x14ac:dyDescent="0.35">
      <c r="A1011" t="s">
        <v>1086</v>
      </c>
    </row>
    <row r="1012" spans="1:1" x14ac:dyDescent="0.35">
      <c r="A1012" t="s">
        <v>1087</v>
      </c>
    </row>
    <row r="1013" spans="1:1" x14ac:dyDescent="0.35">
      <c r="A1013" t="s">
        <v>1088</v>
      </c>
    </row>
    <row r="1014" spans="1:1" x14ac:dyDescent="0.35">
      <c r="A1014" t="s">
        <v>1089</v>
      </c>
    </row>
    <row r="1015" spans="1:1" x14ac:dyDescent="0.35">
      <c r="A1015" t="s">
        <v>1090</v>
      </c>
    </row>
    <row r="1016" spans="1:1" x14ac:dyDescent="0.35">
      <c r="A1016" t="s">
        <v>1091</v>
      </c>
    </row>
    <row r="1017" spans="1:1" x14ac:dyDescent="0.35">
      <c r="A1017" t="s">
        <v>1092</v>
      </c>
    </row>
    <row r="1018" spans="1:1" x14ac:dyDescent="0.35">
      <c r="A1018" t="s">
        <v>1093</v>
      </c>
    </row>
    <row r="1019" spans="1:1" x14ac:dyDescent="0.35">
      <c r="A1019" t="s">
        <v>1094</v>
      </c>
    </row>
    <row r="1020" spans="1:1" x14ac:dyDescent="0.35">
      <c r="A1020" t="s">
        <v>1095</v>
      </c>
    </row>
    <row r="1021" spans="1:1" x14ac:dyDescent="0.35">
      <c r="A1021" t="s">
        <v>1096</v>
      </c>
    </row>
    <row r="1022" spans="1:1" x14ac:dyDescent="0.35">
      <c r="A1022" t="s">
        <v>1097</v>
      </c>
    </row>
    <row r="1023" spans="1:1" x14ac:dyDescent="0.35">
      <c r="A1023" t="s">
        <v>1098</v>
      </c>
    </row>
    <row r="1024" spans="1:1" x14ac:dyDescent="0.35">
      <c r="A1024" t="s">
        <v>1099</v>
      </c>
    </row>
    <row r="1025" spans="1:1" x14ac:dyDescent="0.35">
      <c r="A1025" t="s">
        <v>1100</v>
      </c>
    </row>
    <row r="1026" spans="1:1" x14ac:dyDescent="0.35">
      <c r="A1026" t="s">
        <v>1101</v>
      </c>
    </row>
    <row r="1027" spans="1:1" x14ac:dyDescent="0.35">
      <c r="A1027" t="s">
        <v>1102</v>
      </c>
    </row>
    <row r="1028" spans="1:1" x14ac:dyDescent="0.35">
      <c r="A1028" t="s">
        <v>1103</v>
      </c>
    </row>
    <row r="1029" spans="1:1" x14ac:dyDescent="0.35">
      <c r="A1029" t="s">
        <v>1104</v>
      </c>
    </row>
    <row r="1030" spans="1:1" x14ac:dyDescent="0.35">
      <c r="A1030" t="s">
        <v>1105</v>
      </c>
    </row>
    <row r="1031" spans="1:1" x14ac:dyDescent="0.35">
      <c r="A1031" t="s">
        <v>1106</v>
      </c>
    </row>
    <row r="1032" spans="1:1" x14ac:dyDescent="0.35">
      <c r="A1032" t="s">
        <v>1107</v>
      </c>
    </row>
    <row r="1033" spans="1:1" x14ac:dyDescent="0.35">
      <c r="A1033" t="s">
        <v>1108</v>
      </c>
    </row>
    <row r="1034" spans="1:1" x14ac:dyDescent="0.35">
      <c r="A1034" t="s">
        <v>1109</v>
      </c>
    </row>
    <row r="1035" spans="1:1" x14ac:dyDescent="0.35">
      <c r="A1035" t="s">
        <v>1110</v>
      </c>
    </row>
    <row r="1036" spans="1:1" x14ac:dyDescent="0.35">
      <c r="A1036" t="s">
        <v>1111</v>
      </c>
    </row>
    <row r="1037" spans="1:1" x14ac:dyDescent="0.35">
      <c r="A1037" t="s">
        <v>1112</v>
      </c>
    </row>
    <row r="1038" spans="1:1" x14ac:dyDescent="0.35">
      <c r="A1038" t="s">
        <v>1113</v>
      </c>
    </row>
    <row r="1039" spans="1:1" x14ac:dyDescent="0.35">
      <c r="A1039" t="s">
        <v>1114</v>
      </c>
    </row>
    <row r="1040" spans="1:1" x14ac:dyDescent="0.35">
      <c r="A1040" t="s">
        <v>1115</v>
      </c>
    </row>
    <row r="1041" spans="1:1" x14ac:dyDescent="0.35">
      <c r="A1041" t="s">
        <v>1116</v>
      </c>
    </row>
    <row r="1042" spans="1:1" x14ac:dyDescent="0.35">
      <c r="A1042" t="s">
        <v>1117</v>
      </c>
    </row>
    <row r="1043" spans="1:1" x14ac:dyDescent="0.35">
      <c r="A1043" t="s">
        <v>1118</v>
      </c>
    </row>
    <row r="1044" spans="1:1" x14ac:dyDescent="0.35">
      <c r="A1044" t="s">
        <v>1119</v>
      </c>
    </row>
    <row r="1045" spans="1:1" x14ac:dyDescent="0.35">
      <c r="A1045" t="s">
        <v>1120</v>
      </c>
    </row>
    <row r="1046" spans="1:1" x14ac:dyDescent="0.35">
      <c r="A1046" t="s">
        <v>1121</v>
      </c>
    </row>
    <row r="1047" spans="1:1" x14ac:dyDescent="0.35">
      <c r="A1047" t="s">
        <v>1122</v>
      </c>
    </row>
    <row r="1048" spans="1:1" x14ac:dyDescent="0.35">
      <c r="A1048" t="s">
        <v>1123</v>
      </c>
    </row>
    <row r="1049" spans="1:1" x14ac:dyDescent="0.35">
      <c r="A1049" t="s">
        <v>1124</v>
      </c>
    </row>
    <row r="1050" spans="1:1" x14ac:dyDescent="0.35">
      <c r="A1050" t="s">
        <v>1125</v>
      </c>
    </row>
    <row r="1051" spans="1:1" x14ac:dyDescent="0.35">
      <c r="A1051" t="s">
        <v>1126</v>
      </c>
    </row>
    <row r="1052" spans="1:1" x14ac:dyDescent="0.35">
      <c r="A1052" t="s">
        <v>1127</v>
      </c>
    </row>
    <row r="1053" spans="1:1" x14ac:dyDescent="0.35">
      <c r="A1053" t="s">
        <v>1128</v>
      </c>
    </row>
    <row r="1054" spans="1:1" x14ac:dyDescent="0.35">
      <c r="A1054" t="s">
        <v>1129</v>
      </c>
    </row>
    <row r="1055" spans="1:1" x14ac:dyDescent="0.35">
      <c r="A1055" t="s">
        <v>1130</v>
      </c>
    </row>
    <row r="1056" spans="1:1" x14ac:dyDescent="0.35">
      <c r="A1056" t="s">
        <v>1131</v>
      </c>
    </row>
    <row r="1057" spans="1:1" x14ac:dyDescent="0.35">
      <c r="A1057" t="s">
        <v>1132</v>
      </c>
    </row>
    <row r="1058" spans="1:1" x14ac:dyDescent="0.35">
      <c r="A1058" t="s">
        <v>1133</v>
      </c>
    </row>
    <row r="1059" spans="1:1" x14ac:dyDescent="0.35">
      <c r="A1059" t="s">
        <v>1134</v>
      </c>
    </row>
    <row r="1060" spans="1:1" x14ac:dyDescent="0.35">
      <c r="A1060" t="s">
        <v>1135</v>
      </c>
    </row>
    <row r="1061" spans="1:1" x14ac:dyDescent="0.35">
      <c r="A1061" t="s">
        <v>1136</v>
      </c>
    </row>
    <row r="1062" spans="1:1" x14ac:dyDescent="0.35">
      <c r="A1062" t="s">
        <v>1137</v>
      </c>
    </row>
    <row r="1063" spans="1:1" x14ac:dyDescent="0.35">
      <c r="A1063" t="s">
        <v>1138</v>
      </c>
    </row>
    <row r="1064" spans="1:1" x14ac:dyDescent="0.35">
      <c r="A1064" t="s">
        <v>1139</v>
      </c>
    </row>
    <row r="1065" spans="1:1" x14ac:dyDescent="0.35">
      <c r="A1065" t="s">
        <v>1140</v>
      </c>
    </row>
    <row r="1066" spans="1:1" x14ac:dyDescent="0.35">
      <c r="A1066" t="s">
        <v>1141</v>
      </c>
    </row>
    <row r="1067" spans="1:1" x14ac:dyDescent="0.35">
      <c r="A1067" t="s">
        <v>1142</v>
      </c>
    </row>
    <row r="1068" spans="1:1" x14ac:dyDescent="0.35">
      <c r="A1068" t="s">
        <v>1143</v>
      </c>
    </row>
    <row r="1069" spans="1:1" x14ac:dyDescent="0.35">
      <c r="A1069" t="s">
        <v>1144</v>
      </c>
    </row>
    <row r="1070" spans="1:1" x14ac:dyDescent="0.35">
      <c r="A1070" t="s">
        <v>1145</v>
      </c>
    </row>
    <row r="1071" spans="1:1" x14ac:dyDescent="0.35">
      <c r="A1071" t="s">
        <v>1146</v>
      </c>
    </row>
    <row r="1072" spans="1:1" x14ac:dyDescent="0.35">
      <c r="A1072" t="s">
        <v>1147</v>
      </c>
    </row>
    <row r="1073" spans="1:1" x14ac:dyDescent="0.35">
      <c r="A1073" t="s">
        <v>1148</v>
      </c>
    </row>
    <row r="1074" spans="1:1" x14ac:dyDescent="0.35">
      <c r="A1074" t="s">
        <v>1149</v>
      </c>
    </row>
    <row r="1075" spans="1:1" x14ac:dyDescent="0.35">
      <c r="A1075" t="s">
        <v>1150</v>
      </c>
    </row>
    <row r="1076" spans="1:1" x14ac:dyDescent="0.35">
      <c r="A1076" t="s">
        <v>1151</v>
      </c>
    </row>
    <row r="1077" spans="1:1" x14ac:dyDescent="0.35">
      <c r="A1077" t="s">
        <v>1152</v>
      </c>
    </row>
    <row r="1078" spans="1:1" x14ac:dyDescent="0.35">
      <c r="A1078" t="s">
        <v>1153</v>
      </c>
    </row>
    <row r="1079" spans="1:1" x14ac:dyDescent="0.35">
      <c r="A1079" t="s">
        <v>1154</v>
      </c>
    </row>
    <row r="1080" spans="1:1" x14ac:dyDescent="0.35">
      <c r="A1080" t="s">
        <v>1155</v>
      </c>
    </row>
    <row r="1081" spans="1:1" x14ac:dyDescent="0.35">
      <c r="A1081" t="s">
        <v>1156</v>
      </c>
    </row>
    <row r="1082" spans="1:1" x14ac:dyDescent="0.35">
      <c r="A1082" t="s">
        <v>1157</v>
      </c>
    </row>
    <row r="1083" spans="1:1" x14ac:dyDescent="0.35">
      <c r="A1083" t="s">
        <v>1158</v>
      </c>
    </row>
    <row r="1084" spans="1:1" x14ac:dyDescent="0.35">
      <c r="A1084" t="s">
        <v>1159</v>
      </c>
    </row>
    <row r="1085" spans="1:1" x14ac:dyDescent="0.35">
      <c r="A1085" t="s">
        <v>1160</v>
      </c>
    </row>
    <row r="1086" spans="1:1" x14ac:dyDescent="0.35">
      <c r="A1086" t="s">
        <v>1161</v>
      </c>
    </row>
    <row r="1087" spans="1:1" x14ac:dyDescent="0.35">
      <c r="A1087" t="s">
        <v>1162</v>
      </c>
    </row>
    <row r="1088" spans="1:1" x14ac:dyDescent="0.35">
      <c r="A1088" t="s">
        <v>1163</v>
      </c>
    </row>
    <row r="1089" spans="1:1" x14ac:dyDescent="0.35">
      <c r="A1089" t="s">
        <v>1164</v>
      </c>
    </row>
    <row r="1090" spans="1:1" x14ac:dyDescent="0.35">
      <c r="A1090" t="s">
        <v>1165</v>
      </c>
    </row>
    <row r="1091" spans="1:1" x14ac:dyDescent="0.35">
      <c r="A1091" t="s">
        <v>1166</v>
      </c>
    </row>
    <row r="1092" spans="1:1" x14ac:dyDescent="0.35">
      <c r="A1092" t="s">
        <v>1167</v>
      </c>
    </row>
    <row r="1093" spans="1:1" x14ac:dyDescent="0.35">
      <c r="A1093" t="s">
        <v>1168</v>
      </c>
    </row>
    <row r="1094" spans="1:1" x14ac:dyDescent="0.35">
      <c r="A1094" t="s">
        <v>1169</v>
      </c>
    </row>
    <row r="1095" spans="1:1" x14ac:dyDescent="0.35">
      <c r="A1095" t="s">
        <v>1170</v>
      </c>
    </row>
    <row r="1096" spans="1:1" x14ac:dyDescent="0.35">
      <c r="A1096" t="s">
        <v>1171</v>
      </c>
    </row>
    <row r="1097" spans="1:1" x14ac:dyDescent="0.35">
      <c r="A1097" t="s">
        <v>1172</v>
      </c>
    </row>
    <row r="1098" spans="1:1" x14ac:dyDescent="0.35">
      <c r="A1098" t="s">
        <v>1173</v>
      </c>
    </row>
    <row r="1099" spans="1:1" x14ac:dyDescent="0.35">
      <c r="A1099" t="s">
        <v>1174</v>
      </c>
    </row>
    <row r="1100" spans="1:1" x14ac:dyDescent="0.35">
      <c r="A1100" t="s">
        <v>1175</v>
      </c>
    </row>
    <row r="1101" spans="1:1" x14ac:dyDescent="0.35">
      <c r="A1101" t="s">
        <v>1176</v>
      </c>
    </row>
    <row r="1102" spans="1:1" x14ac:dyDescent="0.35">
      <c r="A1102" t="s">
        <v>1177</v>
      </c>
    </row>
    <row r="1103" spans="1:1" x14ac:dyDescent="0.35">
      <c r="A1103" t="s">
        <v>1178</v>
      </c>
    </row>
    <row r="1104" spans="1:1" x14ac:dyDescent="0.35">
      <c r="A1104" t="s">
        <v>1179</v>
      </c>
    </row>
    <row r="1105" spans="1:1" x14ac:dyDescent="0.35">
      <c r="A1105" t="s">
        <v>1180</v>
      </c>
    </row>
    <row r="1106" spans="1:1" x14ac:dyDescent="0.35">
      <c r="A1106" t="s">
        <v>1181</v>
      </c>
    </row>
    <row r="1107" spans="1:1" x14ac:dyDescent="0.35">
      <c r="A1107" t="s">
        <v>1182</v>
      </c>
    </row>
    <row r="1108" spans="1:1" x14ac:dyDescent="0.35">
      <c r="A1108" t="s">
        <v>1183</v>
      </c>
    </row>
    <row r="1109" spans="1:1" x14ac:dyDescent="0.35">
      <c r="A1109" t="s">
        <v>1184</v>
      </c>
    </row>
    <row r="1110" spans="1:1" x14ac:dyDescent="0.35">
      <c r="A1110" t="s">
        <v>1185</v>
      </c>
    </row>
    <row r="1111" spans="1:1" x14ac:dyDescent="0.35">
      <c r="A1111" t="s">
        <v>1186</v>
      </c>
    </row>
    <row r="1112" spans="1:1" x14ac:dyDescent="0.35">
      <c r="A1112" t="s">
        <v>1187</v>
      </c>
    </row>
    <row r="1113" spans="1:1" x14ac:dyDescent="0.35">
      <c r="A1113" t="s">
        <v>1188</v>
      </c>
    </row>
    <row r="1114" spans="1:1" x14ac:dyDescent="0.35">
      <c r="A1114" t="s">
        <v>1189</v>
      </c>
    </row>
    <row r="1115" spans="1:1" x14ac:dyDescent="0.35">
      <c r="A1115" t="s">
        <v>1190</v>
      </c>
    </row>
    <row r="1116" spans="1:1" x14ac:dyDescent="0.35">
      <c r="A1116" t="s">
        <v>1191</v>
      </c>
    </row>
    <row r="1117" spans="1:1" x14ac:dyDescent="0.35">
      <c r="A1117" t="s">
        <v>1192</v>
      </c>
    </row>
    <row r="1118" spans="1:1" x14ac:dyDescent="0.35">
      <c r="A1118" t="s">
        <v>1193</v>
      </c>
    </row>
    <row r="1119" spans="1:1" x14ac:dyDescent="0.35">
      <c r="A1119" t="s">
        <v>1194</v>
      </c>
    </row>
    <row r="1120" spans="1:1" x14ac:dyDescent="0.35">
      <c r="A1120" t="s">
        <v>1195</v>
      </c>
    </row>
    <row r="1121" spans="1:1" x14ac:dyDescent="0.35">
      <c r="A1121" t="s">
        <v>1196</v>
      </c>
    </row>
    <row r="1122" spans="1:1" x14ac:dyDescent="0.35">
      <c r="A1122" t="s">
        <v>1197</v>
      </c>
    </row>
    <row r="1123" spans="1:1" x14ac:dyDescent="0.35">
      <c r="A1123" t="s">
        <v>1198</v>
      </c>
    </row>
    <row r="1124" spans="1:1" x14ac:dyDescent="0.35">
      <c r="A1124" t="s">
        <v>1199</v>
      </c>
    </row>
    <row r="1125" spans="1:1" x14ac:dyDescent="0.35">
      <c r="A1125" t="s">
        <v>1200</v>
      </c>
    </row>
    <row r="1126" spans="1:1" x14ac:dyDescent="0.35">
      <c r="A1126" t="s">
        <v>1201</v>
      </c>
    </row>
    <row r="1127" spans="1:1" x14ac:dyDescent="0.35">
      <c r="A1127" t="s">
        <v>1202</v>
      </c>
    </row>
    <row r="1128" spans="1:1" x14ac:dyDescent="0.35">
      <c r="A1128" t="s">
        <v>1203</v>
      </c>
    </row>
    <row r="1129" spans="1:1" x14ac:dyDescent="0.35">
      <c r="A1129" t="s">
        <v>1204</v>
      </c>
    </row>
    <row r="1130" spans="1:1" x14ac:dyDescent="0.35">
      <c r="A1130" t="s">
        <v>1205</v>
      </c>
    </row>
    <row r="1131" spans="1:1" x14ac:dyDescent="0.35">
      <c r="A1131" t="s">
        <v>1206</v>
      </c>
    </row>
    <row r="1132" spans="1:1" x14ac:dyDescent="0.35">
      <c r="A1132" t="s">
        <v>1207</v>
      </c>
    </row>
    <row r="1133" spans="1:1" x14ac:dyDescent="0.35">
      <c r="A1133" t="s">
        <v>1208</v>
      </c>
    </row>
    <row r="1134" spans="1:1" x14ac:dyDescent="0.35">
      <c r="A1134" t="s">
        <v>1209</v>
      </c>
    </row>
    <row r="1135" spans="1:1" x14ac:dyDescent="0.35">
      <c r="A1135" t="s">
        <v>1210</v>
      </c>
    </row>
    <row r="1136" spans="1:1" x14ac:dyDescent="0.35">
      <c r="A1136" t="s">
        <v>1211</v>
      </c>
    </row>
    <row r="1137" spans="1:1" x14ac:dyDescent="0.35">
      <c r="A1137" t="s">
        <v>1212</v>
      </c>
    </row>
    <row r="1138" spans="1:1" x14ac:dyDescent="0.35">
      <c r="A1138" t="s">
        <v>1213</v>
      </c>
    </row>
    <row r="1139" spans="1:1" x14ac:dyDescent="0.35">
      <c r="A1139" t="s">
        <v>1214</v>
      </c>
    </row>
    <row r="1140" spans="1:1" x14ac:dyDescent="0.35">
      <c r="A1140" t="s">
        <v>1215</v>
      </c>
    </row>
    <row r="1141" spans="1:1" x14ac:dyDescent="0.35">
      <c r="A1141" t="s">
        <v>73</v>
      </c>
    </row>
    <row r="1142" spans="1:1" x14ac:dyDescent="0.35">
      <c r="A1142" t="s">
        <v>1216</v>
      </c>
    </row>
    <row r="1143" spans="1:1" x14ac:dyDescent="0.35">
      <c r="A1143" t="s">
        <v>1217</v>
      </c>
    </row>
    <row r="1144" spans="1:1" x14ac:dyDescent="0.35">
      <c r="A1144" t="s">
        <v>1218</v>
      </c>
    </row>
    <row r="1145" spans="1:1" x14ac:dyDescent="0.35">
      <c r="A1145" t="s">
        <v>1219</v>
      </c>
    </row>
    <row r="1146" spans="1:1" x14ac:dyDescent="0.35">
      <c r="A1146" t="s">
        <v>1220</v>
      </c>
    </row>
    <row r="1147" spans="1:1" x14ac:dyDescent="0.35">
      <c r="A1147" t="s">
        <v>1221</v>
      </c>
    </row>
    <row r="1148" spans="1:1" x14ac:dyDescent="0.35">
      <c r="A1148" t="s">
        <v>1222</v>
      </c>
    </row>
    <row r="1149" spans="1:1" x14ac:dyDescent="0.35">
      <c r="A1149" t="s">
        <v>1223</v>
      </c>
    </row>
    <row r="1150" spans="1:1" x14ac:dyDescent="0.35">
      <c r="A1150" t="s">
        <v>1224</v>
      </c>
    </row>
    <row r="1151" spans="1:1" x14ac:dyDescent="0.35">
      <c r="A1151" t="s">
        <v>1225</v>
      </c>
    </row>
    <row r="1152" spans="1:1" x14ac:dyDescent="0.35">
      <c r="A1152" t="s">
        <v>1226</v>
      </c>
    </row>
    <row r="1153" spans="1:1" x14ac:dyDescent="0.35">
      <c r="A1153" t="s">
        <v>1227</v>
      </c>
    </row>
    <row r="1154" spans="1:1" x14ac:dyDescent="0.35">
      <c r="A1154" t="s">
        <v>1228</v>
      </c>
    </row>
    <row r="1155" spans="1:1" x14ac:dyDescent="0.35">
      <c r="A1155" t="s">
        <v>1229</v>
      </c>
    </row>
    <row r="1156" spans="1:1" x14ac:dyDescent="0.35">
      <c r="A1156" t="s">
        <v>1230</v>
      </c>
    </row>
    <row r="1157" spans="1:1" x14ac:dyDescent="0.35">
      <c r="A1157" t="s">
        <v>1231</v>
      </c>
    </row>
    <row r="1158" spans="1:1" x14ac:dyDescent="0.35">
      <c r="A1158" t="s">
        <v>1232</v>
      </c>
    </row>
    <row r="1159" spans="1:1" x14ac:dyDescent="0.35">
      <c r="A1159" t="s">
        <v>1233</v>
      </c>
    </row>
    <row r="1160" spans="1:1" x14ac:dyDescent="0.35">
      <c r="A1160" t="s">
        <v>1234</v>
      </c>
    </row>
    <row r="1161" spans="1:1" x14ac:dyDescent="0.35">
      <c r="A1161" t="s">
        <v>1235</v>
      </c>
    </row>
    <row r="1162" spans="1:1" x14ac:dyDescent="0.35">
      <c r="A1162" t="s">
        <v>1236</v>
      </c>
    </row>
    <row r="1163" spans="1:1" x14ac:dyDescent="0.35">
      <c r="A1163" t="s">
        <v>1237</v>
      </c>
    </row>
    <row r="1164" spans="1:1" x14ac:dyDescent="0.35">
      <c r="A1164" t="s">
        <v>1238</v>
      </c>
    </row>
    <row r="1165" spans="1:1" x14ac:dyDescent="0.35">
      <c r="A1165" t="s">
        <v>1239</v>
      </c>
    </row>
    <row r="1166" spans="1:1" x14ac:dyDescent="0.35">
      <c r="A1166" t="s">
        <v>1240</v>
      </c>
    </row>
    <row r="1167" spans="1:1" x14ac:dyDescent="0.35">
      <c r="A1167" t="s">
        <v>1241</v>
      </c>
    </row>
    <row r="1168" spans="1:1" x14ac:dyDescent="0.35">
      <c r="A1168" t="s">
        <v>1242</v>
      </c>
    </row>
    <row r="1169" spans="1:1" x14ac:dyDescent="0.35">
      <c r="A1169" t="s">
        <v>1243</v>
      </c>
    </row>
    <row r="1170" spans="1:1" x14ac:dyDescent="0.35">
      <c r="A1170" t="s">
        <v>1244</v>
      </c>
    </row>
    <row r="1171" spans="1:1" x14ac:dyDescent="0.35">
      <c r="A1171" t="s">
        <v>1245</v>
      </c>
    </row>
    <row r="1172" spans="1:1" x14ac:dyDescent="0.35">
      <c r="A1172" t="s">
        <v>1246</v>
      </c>
    </row>
    <row r="1173" spans="1:1" x14ac:dyDescent="0.35">
      <c r="A1173" t="s">
        <v>1247</v>
      </c>
    </row>
    <row r="1174" spans="1:1" x14ac:dyDescent="0.35">
      <c r="A1174" t="s">
        <v>1248</v>
      </c>
    </row>
    <row r="1175" spans="1:1" x14ac:dyDescent="0.35">
      <c r="A1175" t="s">
        <v>1249</v>
      </c>
    </row>
    <row r="1176" spans="1:1" x14ac:dyDescent="0.35">
      <c r="A1176" t="s">
        <v>1250</v>
      </c>
    </row>
    <row r="1177" spans="1:1" x14ac:dyDescent="0.35">
      <c r="A1177" t="s">
        <v>1251</v>
      </c>
    </row>
    <row r="1178" spans="1:1" x14ac:dyDescent="0.35">
      <c r="A1178" t="s">
        <v>1252</v>
      </c>
    </row>
    <row r="1179" spans="1:1" x14ac:dyDescent="0.35">
      <c r="A1179" t="s">
        <v>1253</v>
      </c>
    </row>
    <row r="1180" spans="1:1" x14ac:dyDescent="0.35">
      <c r="A1180" t="s">
        <v>1254</v>
      </c>
    </row>
    <row r="1181" spans="1:1" x14ac:dyDescent="0.35">
      <c r="A1181" t="s">
        <v>1255</v>
      </c>
    </row>
    <row r="1182" spans="1:1" x14ac:dyDescent="0.35">
      <c r="A1182" t="s">
        <v>1256</v>
      </c>
    </row>
    <row r="1183" spans="1:1" x14ac:dyDescent="0.35">
      <c r="A1183" t="s">
        <v>1257</v>
      </c>
    </row>
    <row r="1184" spans="1:1" x14ac:dyDescent="0.35">
      <c r="A1184" t="s">
        <v>1258</v>
      </c>
    </row>
    <row r="1185" spans="1:1" x14ac:dyDescent="0.35">
      <c r="A1185" t="s">
        <v>1259</v>
      </c>
    </row>
    <row r="1186" spans="1:1" x14ac:dyDescent="0.35">
      <c r="A1186" t="s">
        <v>1260</v>
      </c>
    </row>
    <row r="1187" spans="1:1" x14ac:dyDescent="0.35">
      <c r="A1187" t="s">
        <v>1261</v>
      </c>
    </row>
    <row r="1188" spans="1:1" x14ac:dyDescent="0.35">
      <c r="A1188" t="s">
        <v>1262</v>
      </c>
    </row>
    <row r="1189" spans="1:1" x14ac:dyDescent="0.35">
      <c r="A1189" t="s">
        <v>1263</v>
      </c>
    </row>
    <row r="1190" spans="1:1" x14ac:dyDescent="0.35">
      <c r="A1190" t="s">
        <v>1264</v>
      </c>
    </row>
    <row r="1191" spans="1:1" x14ac:dyDescent="0.35">
      <c r="A1191" t="s">
        <v>1265</v>
      </c>
    </row>
    <row r="1192" spans="1:1" x14ac:dyDescent="0.35">
      <c r="A1192" t="s">
        <v>1266</v>
      </c>
    </row>
    <row r="1193" spans="1:1" x14ac:dyDescent="0.35">
      <c r="A1193" t="s">
        <v>1267</v>
      </c>
    </row>
    <row r="1194" spans="1:1" x14ac:dyDescent="0.35">
      <c r="A1194" t="s">
        <v>1268</v>
      </c>
    </row>
    <row r="1195" spans="1:1" x14ac:dyDescent="0.35">
      <c r="A1195" t="s">
        <v>1269</v>
      </c>
    </row>
    <row r="1196" spans="1:1" x14ac:dyDescent="0.35">
      <c r="A1196" t="s">
        <v>1270</v>
      </c>
    </row>
    <row r="1197" spans="1:1" x14ac:dyDescent="0.35">
      <c r="A1197" t="s">
        <v>1271</v>
      </c>
    </row>
    <row r="1198" spans="1:1" x14ac:dyDescent="0.35">
      <c r="A1198" t="s">
        <v>1272</v>
      </c>
    </row>
    <row r="1199" spans="1:1" x14ac:dyDescent="0.35">
      <c r="A1199" t="s">
        <v>1273</v>
      </c>
    </row>
    <row r="1200" spans="1:1" x14ac:dyDescent="0.35">
      <c r="A1200" t="s">
        <v>1274</v>
      </c>
    </row>
    <row r="1201" spans="1:1" x14ac:dyDescent="0.35">
      <c r="A1201" t="s">
        <v>74</v>
      </c>
    </row>
    <row r="1202" spans="1:1" x14ac:dyDescent="0.35">
      <c r="A1202" t="s">
        <v>1275</v>
      </c>
    </row>
    <row r="1203" spans="1:1" x14ac:dyDescent="0.35">
      <c r="A1203" t="s">
        <v>1276</v>
      </c>
    </row>
    <row r="1204" spans="1:1" x14ac:dyDescent="0.35">
      <c r="A1204" t="s">
        <v>1277</v>
      </c>
    </row>
    <row r="1205" spans="1:1" x14ac:dyDescent="0.35">
      <c r="A1205" t="s">
        <v>1278</v>
      </c>
    </row>
    <row r="1206" spans="1:1" x14ac:dyDescent="0.35">
      <c r="A1206" t="s">
        <v>1279</v>
      </c>
    </row>
    <row r="1207" spans="1:1" x14ac:dyDescent="0.35">
      <c r="A1207" t="s">
        <v>1280</v>
      </c>
    </row>
    <row r="1208" spans="1:1" x14ac:dyDescent="0.35">
      <c r="A1208" t="s">
        <v>1281</v>
      </c>
    </row>
    <row r="1209" spans="1:1" x14ac:dyDescent="0.35">
      <c r="A1209" t="s">
        <v>1282</v>
      </c>
    </row>
    <row r="1210" spans="1:1" x14ac:dyDescent="0.35">
      <c r="A1210" t="s">
        <v>1283</v>
      </c>
    </row>
    <row r="1211" spans="1:1" x14ac:dyDescent="0.35">
      <c r="A1211" t="s">
        <v>1284</v>
      </c>
    </row>
    <row r="1212" spans="1:1" x14ac:dyDescent="0.35">
      <c r="A1212" t="s">
        <v>1285</v>
      </c>
    </row>
    <row r="1213" spans="1:1" x14ac:dyDescent="0.35">
      <c r="A1213" t="s">
        <v>1286</v>
      </c>
    </row>
    <row r="1214" spans="1:1" x14ac:dyDescent="0.35">
      <c r="A1214" t="s">
        <v>1287</v>
      </c>
    </row>
    <row r="1215" spans="1:1" x14ac:dyDescent="0.35">
      <c r="A1215" t="s">
        <v>1288</v>
      </c>
    </row>
    <row r="1216" spans="1:1" x14ac:dyDescent="0.35">
      <c r="A1216" t="s">
        <v>1289</v>
      </c>
    </row>
    <row r="1217" spans="1:1" x14ac:dyDescent="0.35">
      <c r="A1217" t="s">
        <v>1290</v>
      </c>
    </row>
    <row r="1218" spans="1:1" x14ac:dyDescent="0.35">
      <c r="A1218" t="s">
        <v>1291</v>
      </c>
    </row>
    <row r="1219" spans="1:1" x14ac:dyDescent="0.35">
      <c r="A1219" t="s">
        <v>1292</v>
      </c>
    </row>
    <row r="1220" spans="1:1" x14ac:dyDescent="0.35">
      <c r="A1220" t="s">
        <v>1293</v>
      </c>
    </row>
    <row r="1221" spans="1:1" x14ac:dyDescent="0.35">
      <c r="A1221" t="s">
        <v>1294</v>
      </c>
    </row>
    <row r="1222" spans="1:1" x14ac:dyDescent="0.35">
      <c r="A1222" t="s">
        <v>1295</v>
      </c>
    </row>
    <row r="1223" spans="1:1" x14ac:dyDescent="0.35">
      <c r="A1223" t="s">
        <v>1296</v>
      </c>
    </row>
    <row r="1224" spans="1:1" x14ac:dyDescent="0.35">
      <c r="A1224" t="s">
        <v>1297</v>
      </c>
    </row>
    <row r="1225" spans="1:1" x14ac:dyDescent="0.35">
      <c r="A1225" t="s">
        <v>1298</v>
      </c>
    </row>
    <row r="1226" spans="1:1" x14ac:dyDescent="0.35">
      <c r="A1226" t="s">
        <v>1299</v>
      </c>
    </row>
    <row r="1227" spans="1:1" x14ac:dyDescent="0.35">
      <c r="A1227" t="s">
        <v>1300</v>
      </c>
    </row>
    <row r="1228" spans="1:1" x14ac:dyDescent="0.35">
      <c r="A1228" t="s">
        <v>1301</v>
      </c>
    </row>
    <row r="1229" spans="1:1" x14ac:dyDescent="0.35">
      <c r="A1229" t="s">
        <v>1302</v>
      </c>
    </row>
    <row r="1230" spans="1:1" x14ac:dyDescent="0.35">
      <c r="A1230" t="s">
        <v>1303</v>
      </c>
    </row>
    <row r="1231" spans="1:1" x14ac:dyDescent="0.35">
      <c r="A1231" t="s">
        <v>1304</v>
      </c>
    </row>
    <row r="1232" spans="1:1" x14ac:dyDescent="0.35">
      <c r="A1232" t="s">
        <v>1305</v>
      </c>
    </row>
    <row r="1233" spans="1:1" x14ac:dyDescent="0.35">
      <c r="A1233" t="s">
        <v>1306</v>
      </c>
    </row>
    <row r="1234" spans="1:1" x14ac:dyDescent="0.35">
      <c r="A1234" t="s">
        <v>1307</v>
      </c>
    </row>
    <row r="1235" spans="1:1" x14ac:dyDescent="0.35">
      <c r="A1235" t="s">
        <v>1308</v>
      </c>
    </row>
    <row r="1236" spans="1:1" x14ac:dyDescent="0.35">
      <c r="A1236" t="s">
        <v>1309</v>
      </c>
    </row>
    <row r="1237" spans="1:1" x14ac:dyDescent="0.35">
      <c r="A1237" t="s">
        <v>1310</v>
      </c>
    </row>
    <row r="1238" spans="1:1" x14ac:dyDescent="0.35">
      <c r="A1238" t="s">
        <v>1311</v>
      </c>
    </row>
    <row r="1239" spans="1:1" x14ac:dyDescent="0.35">
      <c r="A1239" t="s">
        <v>1312</v>
      </c>
    </row>
    <row r="1240" spans="1:1" x14ac:dyDescent="0.35">
      <c r="A1240" t="s">
        <v>1313</v>
      </c>
    </row>
    <row r="1241" spans="1:1" x14ac:dyDescent="0.35">
      <c r="A1241" t="s">
        <v>1314</v>
      </c>
    </row>
    <row r="1242" spans="1:1" x14ac:dyDescent="0.35">
      <c r="A1242" t="s">
        <v>1315</v>
      </c>
    </row>
    <row r="1243" spans="1:1" x14ac:dyDescent="0.35">
      <c r="A1243" t="s">
        <v>1316</v>
      </c>
    </row>
    <row r="1244" spans="1:1" x14ac:dyDescent="0.35">
      <c r="A1244" t="s">
        <v>1317</v>
      </c>
    </row>
    <row r="1245" spans="1:1" x14ac:dyDescent="0.35">
      <c r="A1245" t="s">
        <v>1318</v>
      </c>
    </row>
    <row r="1246" spans="1:1" x14ac:dyDescent="0.35">
      <c r="A1246" t="s">
        <v>1319</v>
      </c>
    </row>
    <row r="1247" spans="1:1" x14ac:dyDescent="0.35">
      <c r="A1247" t="s">
        <v>1320</v>
      </c>
    </row>
    <row r="1248" spans="1:1" x14ac:dyDescent="0.35">
      <c r="A1248" t="s">
        <v>1321</v>
      </c>
    </row>
    <row r="1249" spans="1:1" x14ac:dyDescent="0.35">
      <c r="A1249" t="s">
        <v>1322</v>
      </c>
    </row>
    <row r="1250" spans="1:1" x14ac:dyDescent="0.35">
      <c r="A1250" t="s">
        <v>1323</v>
      </c>
    </row>
    <row r="1251" spans="1:1" x14ac:dyDescent="0.35">
      <c r="A1251" t="s">
        <v>1324</v>
      </c>
    </row>
    <row r="1252" spans="1:1" x14ac:dyDescent="0.35">
      <c r="A1252" t="s">
        <v>1325</v>
      </c>
    </row>
    <row r="1253" spans="1:1" x14ac:dyDescent="0.35">
      <c r="A1253" t="s">
        <v>1326</v>
      </c>
    </row>
    <row r="1254" spans="1:1" x14ac:dyDescent="0.35">
      <c r="A1254" t="s">
        <v>1327</v>
      </c>
    </row>
    <row r="1255" spans="1:1" x14ac:dyDescent="0.35">
      <c r="A1255" t="s">
        <v>1328</v>
      </c>
    </row>
    <row r="1256" spans="1:1" x14ac:dyDescent="0.35">
      <c r="A1256" t="s">
        <v>1329</v>
      </c>
    </row>
    <row r="1257" spans="1:1" x14ac:dyDescent="0.35">
      <c r="A1257" t="s">
        <v>1330</v>
      </c>
    </row>
    <row r="1258" spans="1:1" x14ac:dyDescent="0.35">
      <c r="A1258" t="s">
        <v>1331</v>
      </c>
    </row>
    <row r="1259" spans="1:1" x14ac:dyDescent="0.35">
      <c r="A1259" t="s">
        <v>1332</v>
      </c>
    </row>
    <row r="1260" spans="1:1" x14ac:dyDescent="0.35">
      <c r="A1260" t="s">
        <v>1333</v>
      </c>
    </row>
    <row r="1261" spans="1:1" x14ac:dyDescent="0.35">
      <c r="A1261" t="s">
        <v>75</v>
      </c>
    </row>
    <row r="1262" spans="1:1" x14ac:dyDescent="0.35">
      <c r="A1262" t="s">
        <v>1334</v>
      </c>
    </row>
    <row r="1263" spans="1:1" x14ac:dyDescent="0.35">
      <c r="A1263" t="s">
        <v>1335</v>
      </c>
    </row>
    <row r="1264" spans="1:1" x14ac:dyDescent="0.35">
      <c r="A1264" t="s">
        <v>1336</v>
      </c>
    </row>
    <row r="1265" spans="1:1" x14ac:dyDescent="0.35">
      <c r="A1265" t="s">
        <v>1337</v>
      </c>
    </row>
    <row r="1266" spans="1:1" x14ac:dyDescent="0.35">
      <c r="A1266" t="s">
        <v>1338</v>
      </c>
    </row>
    <row r="1267" spans="1:1" x14ac:dyDescent="0.35">
      <c r="A1267" t="s">
        <v>1339</v>
      </c>
    </row>
    <row r="1268" spans="1:1" x14ac:dyDescent="0.35">
      <c r="A1268" t="s">
        <v>1340</v>
      </c>
    </row>
    <row r="1269" spans="1:1" x14ac:dyDescent="0.35">
      <c r="A1269" t="s">
        <v>1341</v>
      </c>
    </row>
    <row r="1270" spans="1:1" x14ac:dyDescent="0.35">
      <c r="A1270" t="s">
        <v>1342</v>
      </c>
    </row>
    <row r="1271" spans="1:1" x14ac:dyDescent="0.35">
      <c r="A1271" t="s">
        <v>1343</v>
      </c>
    </row>
    <row r="1272" spans="1:1" x14ac:dyDescent="0.35">
      <c r="A1272" t="s">
        <v>1344</v>
      </c>
    </row>
    <row r="1273" spans="1:1" x14ac:dyDescent="0.35">
      <c r="A1273" t="s">
        <v>1345</v>
      </c>
    </row>
    <row r="1274" spans="1:1" x14ac:dyDescent="0.35">
      <c r="A1274" t="s">
        <v>1346</v>
      </c>
    </row>
    <row r="1275" spans="1:1" x14ac:dyDescent="0.35">
      <c r="A1275" t="s">
        <v>1347</v>
      </c>
    </row>
    <row r="1276" spans="1:1" x14ac:dyDescent="0.35">
      <c r="A1276" t="s">
        <v>1348</v>
      </c>
    </row>
    <row r="1277" spans="1:1" x14ac:dyDescent="0.35">
      <c r="A1277" t="s">
        <v>1349</v>
      </c>
    </row>
    <row r="1278" spans="1:1" x14ac:dyDescent="0.35">
      <c r="A1278" t="s">
        <v>1350</v>
      </c>
    </row>
    <row r="1279" spans="1:1" x14ac:dyDescent="0.35">
      <c r="A1279" t="s">
        <v>1351</v>
      </c>
    </row>
    <row r="1280" spans="1:1" x14ac:dyDescent="0.35">
      <c r="A1280" t="s">
        <v>1352</v>
      </c>
    </row>
    <row r="1281" spans="1:1" x14ac:dyDescent="0.35">
      <c r="A1281" t="s">
        <v>1353</v>
      </c>
    </row>
    <row r="1282" spans="1:1" x14ac:dyDescent="0.35">
      <c r="A1282" t="s">
        <v>1354</v>
      </c>
    </row>
    <row r="1283" spans="1:1" x14ac:dyDescent="0.35">
      <c r="A1283" t="s">
        <v>1355</v>
      </c>
    </row>
    <row r="1284" spans="1:1" x14ac:dyDescent="0.35">
      <c r="A1284" t="s">
        <v>1356</v>
      </c>
    </row>
    <row r="1285" spans="1:1" x14ac:dyDescent="0.35">
      <c r="A1285" t="s">
        <v>1357</v>
      </c>
    </row>
    <row r="1286" spans="1:1" x14ac:dyDescent="0.35">
      <c r="A1286" t="s">
        <v>1358</v>
      </c>
    </row>
    <row r="1287" spans="1:1" x14ac:dyDescent="0.35">
      <c r="A1287" t="s">
        <v>1359</v>
      </c>
    </row>
    <row r="1288" spans="1:1" x14ac:dyDescent="0.35">
      <c r="A1288" t="s">
        <v>1360</v>
      </c>
    </row>
    <row r="1289" spans="1:1" x14ac:dyDescent="0.35">
      <c r="A1289" t="s">
        <v>1361</v>
      </c>
    </row>
    <row r="1290" spans="1:1" x14ac:dyDescent="0.35">
      <c r="A1290" t="s">
        <v>1362</v>
      </c>
    </row>
    <row r="1291" spans="1:1" x14ac:dyDescent="0.35">
      <c r="A1291" t="s">
        <v>1363</v>
      </c>
    </row>
    <row r="1292" spans="1:1" x14ac:dyDescent="0.35">
      <c r="A1292" t="s">
        <v>1364</v>
      </c>
    </row>
    <row r="1293" spans="1:1" x14ac:dyDescent="0.35">
      <c r="A1293" t="s">
        <v>1365</v>
      </c>
    </row>
    <row r="1294" spans="1:1" x14ac:dyDescent="0.35">
      <c r="A1294" t="s">
        <v>1366</v>
      </c>
    </row>
    <row r="1295" spans="1:1" x14ac:dyDescent="0.35">
      <c r="A1295" t="s">
        <v>1367</v>
      </c>
    </row>
    <row r="1296" spans="1:1" x14ac:dyDescent="0.35">
      <c r="A1296" t="s">
        <v>1368</v>
      </c>
    </row>
    <row r="1297" spans="1:1" x14ac:dyDescent="0.35">
      <c r="A1297" t="s">
        <v>1369</v>
      </c>
    </row>
    <row r="1298" spans="1:1" x14ac:dyDescent="0.35">
      <c r="A1298" t="s">
        <v>1370</v>
      </c>
    </row>
    <row r="1299" spans="1:1" x14ac:dyDescent="0.35">
      <c r="A1299" t="s">
        <v>1371</v>
      </c>
    </row>
    <row r="1300" spans="1:1" x14ac:dyDescent="0.35">
      <c r="A1300" t="s">
        <v>1372</v>
      </c>
    </row>
    <row r="1301" spans="1:1" x14ac:dyDescent="0.35">
      <c r="A1301" t="s">
        <v>1373</v>
      </c>
    </row>
    <row r="1302" spans="1:1" x14ac:dyDescent="0.35">
      <c r="A1302" t="s">
        <v>1374</v>
      </c>
    </row>
    <row r="1303" spans="1:1" x14ac:dyDescent="0.35">
      <c r="A1303" t="s">
        <v>1375</v>
      </c>
    </row>
    <row r="1304" spans="1:1" x14ac:dyDescent="0.35">
      <c r="A1304" t="s">
        <v>1376</v>
      </c>
    </row>
    <row r="1305" spans="1:1" x14ac:dyDescent="0.35">
      <c r="A1305" t="s">
        <v>1377</v>
      </c>
    </row>
    <row r="1306" spans="1:1" x14ac:dyDescent="0.35">
      <c r="A1306" t="s">
        <v>1378</v>
      </c>
    </row>
    <row r="1307" spans="1:1" x14ac:dyDescent="0.35">
      <c r="A1307" t="s">
        <v>1379</v>
      </c>
    </row>
    <row r="1308" spans="1:1" x14ac:dyDescent="0.35">
      <c r="A1308" t="s">
        <v>1380</v>
      </c>
    </row>
    <row r="1309" spans="1:1" x14ac:dyDescent="0.35">
      <c r="A1309" t="s">
        <v>1381</v>
      </c>
    </row>
    <row r="1310" spans="1:1" x14ac:dyDescent="0.35">
      <c r="A1310" t="s">
        <v>1382</v>
      </c>
    </row>
    <row r="1311" spans="1:1" x14ac:dyDescent="0.35">
      <c r="A1311" t="s">
        <v>1383</v>
      </c>
    </row>
    <row r="1312" spans="1:1" x14ac:dyDescent="0.35">
      <c r="A1312" t="s">
        <v>1384</v>
      </c>
    </row>
    <row r="1313" spans="1:1" x14ac:dyDescent="0.35">
      <c r="A1313" t="s">
        <v>1385</v>
      </c>
    </row>
    <row r="1314" spans="1:1" x14ac:dyDescent="0.35">
      <c r="A1314" t="s">
        <v>1386</v>
      </c>
    </row>
    <row r="1315" spans="1:1" x14ac:dyDescent="0.35">
      <c r="A1315" t="s">
        <v>1387</v>
      </c>
    </row>
    <row r="1316" spans="1:1" x14ac:dyDescent="0.35">
      <c r="A1316" t="s">
        <v>1388</v>
      </c>
    </row>
    <row r="1317" spans="1:1" x14ac:dyDescent="0.35">
      <c r="A1317" t="s">
        <v>1389</v>
      </c>
    </row>
    <row r="1318" spans="1:1" x14ac:dyDescent="0.35">
      <c r="A1318" t="s">
        <v>1390</v>
      </c>
    </row>
    <row r="1319" spans="1:1" x14ac:dyDescent="0.35">
      <c r="A1319" t="s">
        <v>1391</v>
      </c>
    </row>
    <row r="1320" spans="1:1" x14ac:dyDescent="0.35">
      <c r="A1320" t="s">
        <v>1392</v>
      </c>
    </row>
    <row r="1321" spans="1:1" x14ac:dyDescent="0.35">
      <c r="A1321" t="s">
        <v>1393</v>
      </c>
    </row>
    <row r="1322" spans="1:1" x14ac:dyDescent="0.35">
      <c r="A1322" t="s">
        <v>1394</v>
      </c>
    </row>
    <row r="1323" spans="1:1" x14ac:dyDescent="0.35">
      <c r="A1323" t="s">
        <v>1395</v>
      </c>
    </row>
    <row r="1324" spans="1:1" x14ac:dyDescent="0.35">
      <c r="A1324" t="s">
        <v>1396</v>
      </c>
    </row>
    <row r="1325" spans="1:1" x14ac:dyDescent="0.35">
      <c r="A1325" t="s">
        <v>1397</v>
      </c>
    </row>
    <row r="1326" spans="1:1" x14ac:dyDescent="0.35">
      <c r="A1326" t="s">
        <v>1398</v>
      </c>
    </row>
    <row r="1327" spans="1:1" x14ac:dyDescent="0.35">
      <c r="A1327" t="s">
        <v>1399</v>
      </c>
    </row>
    <row r="1328" spans="1:1" x14ac:dyDescent="0.35">
      <c r="A1328" t="s">
        <v>1400</v>
      </c>
    </row>
    <row r="1329" spans="1:1" x14ac:dyDescent="0.35">
      <c r="A1329" t="s">
        <v>1401</v>
      </c>
    </row>
    <row r="1330" spans="1:1" x14ac:dyDescent="0.35">
      <c r="A1330" t="s">
        <v>1402</v>
      </c>
    </row>
    <row r="1331" spans="1:1" x14ac:dyDescent="0.35">
      <c r="A1331" t="s">
        <v>1403</v>
      </c>
    </row>
    <row r="1332" spans="1:1" x14ac:dyDescent="0.35">
      <c r="A1332" t="s">
        <v>1404</v>
      </c>
    </row>
    <row r="1333" spans="1:1" x14ac:dyDescent="0.35">
      <c r="A1333" t="s">
        <v>1405</v>
      </c>
    </row>
    <row r="1334" spans="1:1" x14ac:dyDescent="0.35">
      <c r="A1334" t="s">
        <v>1406</v>
      </c>
    </row>
    <row r="1335" spans="1:1" x14ac:dyDescent="0.35">
      <c r="A1335" t="s">
        <v>1407</v>
      </c>
    </row>
    <row r="1336" spans="1:1" x14ac:dyDescent="0.35">
      <c r="A1336" t="s">
        <v>1408</v>
      </c>
    </row>
    <row r="1337" spans="1:1" x14ac:dyDescent="0.35">
      <c r="A1337" t="s">
        <v>1409</v>
      </c>
    </row>
    <row r="1338" spans="1:1" x14ac:dyDescent="0.35">
      <c r="A1338" t="s">
        <v>1410</v>
      </c>
    </row>
    <row r="1339" spans="1:1" x14ac:dyDescent="0.35">
      <c r="A1339" t="s">
        <v>1411</v>
      </c>
    </row>
    <row r="1340" spans="1:1" x14ac:dyDescent="0.35">
      <c r="A1340" t="s">
        <v>1412</v>
      </c>
    </row>
    <row r="1341" spans="1:1" x14ac:dyDescent="0.35">
      <c r="A1341" t="s">
        <v>1413</v>
      </c>
    </row>
    <row r="1342" spans="1:1" x14ac:dyDescent="0.35">
      <c r="A1342" t="s">
        <v>1414</v>
      </c>
    </row>
    <row r="1343" spans="1:1" x14ac:dyDescent="0.35">
      <c r="A1343" t="s">
        <v>1415</v>
      </c>
    </row>
    <row r="1344" spans="1:1" x14ac:dyDescent="0.35">
      <c r="A1344" t="s">
        <v>1416</v>
      </c>
    </row>
    <row r="1345" spans="1:1" x14ac:dyDescent="0.35">
      <c r="A1345" t="s">
        <v>1417</v>
      </c>
    </row>
    <row r="1346" spans="1:1" x14ac:dyDescent="0.35">
      <c r="A1346" t="s">
        <v>1418</v>
      </c>
    </row>
    <row r="1347" spans="1:1" x14ac:dyDescent="0.35">
      <c r="A1347" t="s">
        <v>1419</v>
      </c>
    </row>
    <row r="1348" spans="1:1" x14ac:dyDescent="0.35">
      <c r="A1348" t="s">
        <v>1420</v>
      </c>
    </row>
    <row r="1349" spans="1:1" x14ac:dyDescent="0.35">
      <c r="A1349" t="s">
        <v>1421</v>
      </c>
    </row>
    <row r="1350" spans="1:1" x14ac:dyDescent="0.35">
      <c r="A1350" t="s">
        <v>1422</v>
      </c>
    </row>
    <row r="1351" spans="1:1" x14ac:dyDescent="0.35">
      <c r="A1351" t="s">
        <v>1423</v>
      </c>
    </row>
    <row r="1352" spans="1:1" x14ac:dyDescent="0.35">
      <c r="A1352" t="s">
        <v>1424</v>
      </c>
    </row>
    <row r="1353" spans="1:1" x14ac:dyDescent="0.35">
      <c r="A1353" t="s">
        <v>1425</v>
      </c>
    </row>
    <row r="1354" spans="1:1" x14ac:dyDescent="0.35">
      <c r="A1354" t="s">
        <v>1426</v>
      </c>
    </row>
    <row r="1355" spans="1:1" x14ac:dyDescent="0.35">
      <c r="A1355" t="s">
        <v>1427</v>
      </c>
    </row>
    <row r="1356" spans="1:1" x14ac:dyDescent="0.35">
      <c r="A1356" t="s">
        <v>1428</v>
      </c>
    </row>
    <row r="1357" spans="1:1" x14ac:dyDescent="0.35">
      <c r="A1357" t="s">
        <v>1429</v>
      </c>
    </row>
    <row r="1358" spans="1:1" x14ac:dyDescent="0.35">
      <c r="A1358" t="s">
        <v>1430</v>
      </c>
    </row>
    <row r="1359" spans="1:1" x14ac:dyDescent="0.35">
      <c r="A1359" t="s">
        <v>1431</v>
      </c>
    </row>
    <row r="1360" spans="1:1" x14ac:dyDescent="0.35">
      <c r="A1360" t="s">
        <v>1432</v>
      </c>
    </row>
    <row r="1361" spans="1:1" x14ac:dyDescent="0.35">
      <c r="A1361" t="s">
        <v>1433</v>
      </c>
    </row>
    <row r="1362" spans="1:1" x14ac:dyDescent="0.35">
      <c r="A1362" t="s">
        <v>1434</v>
      </c>
    </row>
    <row r="1363" spans="1:1" x14ac:dyDescent="0.35">
      <c r="A1363" t="s">
        <v>1435</v>
      </c>
    </row>
    <row r="1364" spans="1:1" x14ac:dyDescent="0.35">
      <c r="A1364" t="s">
        <v>1436</v>
      </c>
    </row>
    <row r="1365" spans="1:1" x14ac:dyDescent="0.35">
      <c r="A1365" t="s">
        <v>1437</v>
      </c>
    </row>
    <row r="1366" spans="1:1" x14ac:dyDescent="0.35">
      <c r="A1366" t="s">
        <v>1438</v>
      </c>
    </row>
    <row r="1367" spans="1:1" x14ac:dyDescent="0.35">
      <c r="A1367" t="s">
        <v>1439</v>
      </c>
    </row>
    <row r="1368" spans="1:1" x14ac:dyDescent="0.35">
      <c r="A1368" t="s">
        <v>1440</v>
      </c>
    </row>
    <row r="1369" spans="1:1" x14ac:dyDescent="0.35">
      <c r="A1369" t="s">
        <v>1441</v>
      </c>
    </row>
    <row r="1370" spans="1:1" x14ac:dyDescent="0.35">
      <c r="A1370" t="s">
        <v>1442</v>
      </c>
    </row>
    <row r="1371" spans="1:1" x14ac:dyDescent="0.35">
      <c r="A1371" t="s">
        <v>1443</v>
      </c>
    </row>
    <row r="1372" spans="1:1" x14ac:dyDescent="0.35">
      <c r="A1372" t="s">
        <v>1444</v>
      </c>
    </row>
    <row r="1373" spans="1:1" x14ac:dyDescent="0.35">
      <c r="A1373" t="s">
        <v>1445</v>
      </c>
    </row>
    <row r="1374" spans="1:1" x14ac:dyDescent="0.35">
      <c r="A1374" t="s">
        <v>1446</v>
      </c>
    </row>
    <row r="1375" spans="1:1" x14ac:dyDescent="0.35">
      <c r="A1375" t="s">
        <v>1447</v>
      </c>
    </row>
    <row r="1376" spans="1:1" x14ac:dyDescent="0.35">
      <c r="A1376" t="s">
        <v>1448</v>
      </c>
    </row>
    <row r="1377" spans="1:1" x14ac:dyDescent="0.35">
      <c r="A1377" t="s">
        <v>1449</v>
      </c>
    </row>
    <row r="1378" spans="1:1" x14ac:dyDescent="0.35">
      <c r="A1378" t="s">
        <v>1450</v>
      </c>
    </row>
    <row r="1379" spans="1:1" x14ac:dyDescent="0.35">
      <c r="A1379" t="s">
        <v>1451</v>
      </c>
    </row>
    <row r="1380" spans="1:1" x14ac:dyDescent="0.35">
      <c r="A1380" t="s">
        <v>1452</v>
      </c>
    </row>
    <row r="1381" spans="1:1" x14ac:dyDescent="0.35">
      <c r="A1381" t="s">
        <v>1453</v>
      </c>
    </row>
    <row r="1382" spans="1:1" x14ac:dyDescent="0.35">
      <c r="A1382" t="s">
        <v>1454</v>
      </c>
    </row>
    <row r="1383" spans="1:1" x14ac:dyDescent="0.35">
      <c r="A1383" t="s">
        <v>1455</v>
      </c>
    </row>
    <row r="1384" spans="1:1" x14ac:dyDescent="0.35">
      <c r="A1384" t="s">
        <v>1456</v>
      </c>
    </row>
    <row r="1385" spans="1:1" x14ac:dyDescent="0.35">
      <c r="A1385" t="s">
        <v>1457</v>
      </c>
    </row>
    <row r="1386" spans="1:1" x14ac:dyDescent="0.35">
      <c r="A1386" t="s">
        <v>1458</v>
      </c>
    </row>
    <row r="1387" spans="1:1" x14ac:dyDescent="0.35">
      <c r="A1387" t="s">
        <v>1459</v>
      </c>
    </row>
    <row r="1388" spans="1:1" x14ac:dyDescent="0.35">
      <c r="A1388" t="s">
        <v>1460</v>
      </c>
    </row>
    <row r="1389" spans="1:1" x14ac:dyDescent="0.35">
      <c r="A1389" t="s">
        <v>1461</v>
      </c>
    </row>
    <row r="1390" spans="1:1" x14ac:dyDescent="0.35">
      <c r="A1390" t="s">
        <v>1462</v>
      </c>
    </row>
    <row r="1391" spans="1:1" x14ac:dyDescent="0.35">
      <c r="A1391" t="s">
        <v>1463</v>
      </c>
    </row>
    <row r="1392" spans="1:1" x14ac:dyDescent="0.35">
      <c r="A1392" t="s">
        <v>1464</v>
      </c>
    </row>
    <row r="1393" spans="1:1" x14ac:dyDescent="0.35">
      <c r="A1393" t="s">
        <v>1465</v>
      </c>
    </row>
    <row r="1394" spans="1:1" x14ac:dyDescent="0.35">
      <c r="A1394" t="s">
        <v>1466</v>
      </c>
    </row>
    <row r="1395" spans="1:1" x14ac:dyDescent="0.35">
      <c r="A1395" t="s">
        <v>1467</v>
      </c>
    </row>
    <row r="1396" spans="1:1" x14ac:dyDescent="0.35">
      <c r="A1396" t="s">
        <v>1468</v>
      </c>
    </row>
    <row r="1397" spans="1:1" x14ac:dyDescent="0.35">
      <c r="A1397" t="s">
        <v>1469</v>
      </c>
    </row>
    <row r="1398" spans="1:1" x14ac:dyDescent="0.35">
      <c r="A1398" t="s">
        <v>1470</v>
      </c>
    </row>
    <row r="1399" spans="1:1" x14ac:dyDescent="0.35">
      <c r="A1399" t="s">
        <v>1471</v>
      </c>
    </row>
    <row r="1400" spans="1:1" x14ac:dyDescent="0.35">
      <c r="A1400" t="s">
        <v>1472</v>
      </c>
    </row>
    <row r="1401" spans="1:1" x14ac:dyDescent="0.35">
      <c r="A1401" t="s">
        <v>1473</v>
      </c>
    </row>
    <row r="1402" spans="1:1" x14ac:dyDescent="0.35">
      <c r="A1402" t="s">
        <v>1474</v>
      </c>
    </row>
    <row r="1403" spans="1:1" x14ac:dyDescent="0.35">
      <c r="A1403" t="s">
        <v>1475</v>
      </c>
    </row>
    <row r="1404" spans="1:1" x14ac:dyDescent="0.35">
      <c r="A1404" t="s">
        <v>1476</v>
      </c>
    </row>
    <row r="1405" spans="1:1" x14ac:dyDescent="0.35">
      <c r="A1405" t="s">
        <v>1477</v>
      </c>
    </row>
    <row r="1406" spans="1:1" x14ac:dyDescent="0.35">
      <c r="A1406" t="s">
        <v>1478</v>
      </c>
    </row>
    <row r="1407" spans="1:1" x14ac:dyDescent="0.35">
      <c r="A1407" t="s">
        <v>1479</v>
      </c>
    </row>
    <row r="1408" spans="1:1" x14ac:dyDescent="0.35">
      <c r="A1408" t="s">
        <v>1480</v>
      </c>
    </row>
    <row r="1409" spans="1:1" x14ac:dyDescent="0.35">
      <c r="A1409" t="s">
        <v>1481</v>
      </c>
    </row>
    <row r="1410" spans="1:1" x14ac:dyDescent="0.35">
      <c r="A1410" t="s">
        <v>1482</v>
      </c>
    </row>
    <row r="1411" spans="1:1" x14ac:dyDescent="0.35">
      <c r="A1411" t="s">
        <v>1483</v>
      </c>
    </row>
    <row r="1412" spans="1:1" x14ac:dyDescent="0.35">
      <c r="A1412" t="s">
        <v>1484</v>
      </c>
    </row>
    <row r="1413" spans="1:1" x14ac:dyDescent="0.35">
      <c r="A1413" t="s">
        <v>1485</v>
      </c>
    </row>
    <row r="1414" spans="1:1" x14ac:dyDescent="0.35">
      <c r="A1414" t="s">
        <v>1486</v>
      </c>
    </row>
    <row r="1415" spans="1:1" x14ac:dyDescent="0.35">
      <c r="A1415" t="s">
        <v>1487</v>
      </c>
    </row>
    <row r="1416" spans="1:1" x14ac:dyDescent="0.35">
      <c r="A1416" t="s">
        <v>1488</v>
      </c>
    </row>
    <row r="1417" spans="1:1" x14ac:dyDescent="0.35">
      <c r="A1417" t="s">
        <v>1489</v>
      </c>
    </row>
    <row r="1418" spans="1:1" x14ac:dyDescent="0.35">
      <c r="A1418" t="s">
        <v>1490</v>
      </c>
    </row>
    <row r="1419" spans="1:1" x14ac:dyDescent="0.35">
      <c r="A1419" t="s">
        <v>1491</v>
      </c>
    </row>
    <row r="1420" spans="1:1" x14ac:dyDescent="0.35">
      <c r="A1420" t="s">
        <v>1492</v>
      </c>
    </row>
    <row r="1421" spans="1:1" x14ac:dyDescent="0.35">
      <c r="A1421" t="s">
        <v>1493</v>
      </c>
    </row>
    <row r="1422" spans="1:1" x14ac:dyDescent="0.35">
      <c r="A1422" t="s">
        <v>1494</v>
      </c>
    </row>
    <row r="1423" spans="1:1" x14ac:dyDescent="0.35">
      <c r="A1423" t="s">
        <v>1495</v>
      </c>
    </row>
    <row r="1424" spans="1:1" x14ac:dyDescent="0.35">
      <c r="A1424" t="s">
        <v>1496</v>
      </c>
    </row>
    <row r="1425" spans="1:1" x14ac:dyDescent="0.35">
      <c r="A1425" t="s">
        <v>1497</v>
      </c>
    </row>
    <row r="1426" spans="1:1" x14ac:dyDescent="0.35">
      <c r="A1426" t="s">
        <v>1498</v>
      </c>
    </row>
    <row r="1427" spans="1:1" x14ac:dyDescent="0.35">
      <c r="A1427" t="s">
        <v>1499</v>
      </c>
    </row>
    <row r="1428" spans="1:1" x14ac:dyDescent="0.35">
      <c r="A1428" t="s">
        <v>1500</v>
      </c>
    </row>
    <row r="1429" spans="1:1" x14ac:dyDescent="0.35">
      <c r="A1429" t="s">
        <v>1501</v>
      </c>
    </row>
    <row r="1430" spans="1:1" x14ac:dyDescent="0.35">
      <c r="A1430" t="s">
        <v>1502</v>
      </c>
    </row>
    <row r="1431" spans="1:1" x14ac:dyDescent="0.35">
      <c r="A1431" t="s">
        <v>1503</v>
      </c>
    </row>
    <row r="1432" spans="1:1" x14ac:dyDescent="0.35">
      <c r="A1432" t="s">
        <v>1504</v>
      </c>
    </row>
    <row r="1433" spans="1:1" x14ac:dyDescent="0.35">
      <c r="A1433" t="s">
        <v>1505</v>
      </c>
    </row>
    <row r="1434" spans="1:1" x14ac:dyDescent="0.35">
      <c r="A1434" t="s">
        <v>1506</v>
      </c>
    </row>
    <row r="1435" spans="1:1" x14ac:dyDescent="0.35">
      <c r="A1435" t="s">
        <v>1507</v>
      </c>
    </row>
    <row r="1436" spans="1:1" x14ac:dyDescent="0.35">
      <c r="A1436" t="s">
        <v>1508</v>
      </c>
    </row>
    <row r="1437" spans="1:1" x14ac:dyDescent="0.35">
      <c r="A1437" t="s">
        <v>1509</v>
      </c>
    </row>
    <row r="1438" spans="1:1" x14ac:dyDescent="0.35">
      <c r="A1438" t="s">
        <v>1510</v>
      </c>
    </row>
    <row r="1439" spans="1:1" x14ac:dyDescent="0.35">
      <c r="A1439" t="s">
        <v>1511</v>
      </c>
    </row>
    <row r="1440" spans="1:1" x14ac:dyDescent="0.35">
      <c r="A1440" t="s">
        <v>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Recordatorios Programados</vt:lpstr>
      <vt:lpstr>Resumen</vt:lpstr>
      <vt:lpstr>Mensajes Base</vt:lpstr>
      <vt:lpstr>Ayuda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Gonzalez</dc:creator>
  <cp:lastModifiedBy>Leonardo Gonzalez</cp:lastModifiedBy>
  <dcterms:created xsi:type="dcterms:W3CDTF">2026-07-10T14:58:34Z</dcterms:created>
  <dcterms:modified xsi:type="dcterms:W3CDTF">2026-07-10T17:25:30Z</dcterms:modified>
</cp:coreProperties>
</file>